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KINGA\Praca Inżynierska - aktualizacja dysku\Excele + wszytsko do obliczeń\"/>
    </mc:Choice>
  </mc:AlternateContent>
  <bookViews>
    <workbookView xWindow="-105" yWindow="-105" windowWidth="25815" windowHeight="15495" firstSheet="5" activeTab="13"/>
  </bookViews>
  <sheets>
    <sheet name="Podsum (Lepkość Kinexus)" sheetId="10" r:id="rId1"/>
    <sheet name="kulki z porogrnem (wlaściwe)" sheetId="3" r:id="rId2"/>
    <sheet name="Drop casting parametry" sheetId="11" r:id="rId3"/>
    <sheet name="Wyt.na.Ści + Por.cał. DC" sheetId="14" r:id="rId4"/>
    <sheet name="Wyt. na zginanie (bez DC)" sheetId="6" r:id="rId5"/>
    <sheet name="spieczone kulki" sheetId="15" r:id="rId6"/>
    <sheet name="pomiar spiecz. kulki" sheetId="16" r:id="rId7"/>
    <sheet name="Sheet6" sheetId="7" r:id="rId8"/>
    <sheet name="Masa 19" sheetId="17" r:id="rId9"/>
    <sheet name="Masa 15" sheetId="18" r:id="rId10"/>
    <sheet name="Masa 17" sheetId="20" r:id="rId11"/>
    <sheet name="Masa 18" sheetId="19" r:id="rId12"/>
    <sheet name="Masa 14" sheetId="21" r:id="rId13"/>
    <sheet name="15_19" sheetId="24" r:id="rId14"/>
    <sheet name="17_19" sheetId="22" r:id="rId15"/>
    <sheet name="18_14" sheetId="23" r:id="rId16"/>
  </sheets>
  <definedNames>
    <definedName name="_xlnm._FilterDatabase" localSheetId="2" hidden="1">'Drop casting parametry'!$A$3:$K$11</definedName>
    <definedName name="_xlnm._FilterDatabase" localSheetId="0" hidden="1">'Podsum (Lepkość Kinexus)'!$B$1:$I$22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9" i="14" l="1"/>
  <c r="M6" i="14"/>
  <c r="M7" i="14"/>
  <c r="M10" i="14"/>
  <c r="M11" i="14"/>
  <c r="J166" i="14"/>
  <c r="J167" i="14"/>
  <c r="J169" i="14"/>
  <c r="J171" i="14"/>
  <c r="J172" i="14"/>
  <c r="K165" i="14"/>
  <c r="K102" i="14"/>
  <c r="K99" i="14"/>
  <c r="K10" i="15"/>
  <c r="M114" i="14"/>
  <c r="K68" i="15"/>
  <c r="I68" i="15"/>
  <c r="K69" i="15"/>
  <c r="I35" i="15"/>
  <c r="M128" i="14"/>
  <c r="M191" i="14"/>
  <c r="J75" i="15"/>
  <c r="F75" i="15"/>
  <c r="E75" i="15"/>
  <c r="D75" i="15"/>
  <c r="J74" i="15"/>
  <c r="H74" i="15"/>
  <c r="F74" i="15"/>
  <c r="E74" i="15"/>
  <c r="D74" i="15"/>
  <c r="J62" i="15"/>
  <c r="F62" i="15"/>
  <c r="E62" i="15"/>
  <c r="D62" i="15"/>
  <c r="J61" i="15"/>
  <c r="F61" i="15"/>
  <c r="E61" i="15"/>
  <c r="D61" i="15"/>
  <c r="J49" i="15"/>
  <c r="H49" i="15"/>
  <c r="F49" i="15"/>
  <c r="E49" i="15"/>
  <c r="D49" i="15"/>
  <c r="J48" i="15"/>
  <c r="F48" i="15"/>
  <c r="E48" i="15"/>
  <c r="D48" i="15"/>
  <c r="J37" i="15"/>
  <c r="F37" i="15"/>
  <c r="E37" i="15"/>
  <c r="D37" i="15"/>
  <c r="J36" i="15"/>
  <c r="H36" i="15"/>
  <c r="F36" i="15"/>
  <c r="E36" i="15"/>
  <c r="D36" i="15"/>
  <c r="J25" i="15"/>
  <c r="G25" i="15"/>
  <c r="F25" i="15"/>
  <c r="E25" i="15"/>
  <c r="D25" i="15"/>
  <c r="J24" i="15"/>
  <c r="F24" i="15"/>
  <c r="E24" i="15"/>
  <c r="D24" i="15"/>
  <c r="K73" i="15"/>
  <c r="G73" i="15"/>
  <c r="H73" i="15" s="1"/>
  <c r="I73" i="15" s="1"/>
  <c r="K72" i="15"/>
  <c r="G72" i="15"/>
  <c r="H72" i="15" s="1"/>
  <c r="I72" i="15" s="1"/>
  <c r="K71" i="15"/>
  <c r="G71" i="15"/>
  <c r="H71" i="15" s="1"/>
  <c r="I71" i="15" s="1"/>
  <c r="G70" i="15"/>
  <c r="H70" i="15" s="1"/>
  <c r="I70" i="15" s="1"/>
  <c r="I74" i="15" s="1"/>
  <c r="K74" i="15"/>
  <c r="G69" i="15"/>
  <c r="H69" i="15" s="1"/>
  <c r="I69" i="15" s="1"/>
  <c r="G68" i="15"/>
  <c r="H68" i="15" s="1"/>
  <c r="K67" i="15"/>
  <c r="G67" i="15"/>
  <c r="H67" i="15" s="1"/>
  <c r="I67" i="15" s="1"/>
  <c r="K66" i="15"/>
  <c r="K75" i="15" s="1"/>
  <c r="G66" i="15"/>
  <c r="H66" i="15" s="1"/>
  <c r="I66" i="15" s="1"/>
  <c r="I75" i="15" s="1"/>
  <c r="K60" i="15"/>
  <c r="G60" i="15"/>
  <c r="H60" i="15" s="1"/>
  <c r="I60" i="15" s="1"/>
  <c r="K59" i="15"/>
  <c r="G59" i="15"/>
  <c r="H59" i="15" s="1"/>
  <c r="I59" i="15" s="1"/>
  <c r="G58" i="15"/>
  <c r="H58" i="15" s="1"/>
  <c r="I58" i="15" s="1"/>
  <c r="K57" i="15"/>
  <c r="G57" i="15"/>
  <c r="H57" i="15" s="1"/>
  <c r="I57" i="15" s="1"/>
  <c r="K56" i="15"/>
  <c r="G56" i="15"/>
  <c r="H56" i="15" s="1"/>
  <c r="I56" i="15" s="1"/>
  <c r="K55" i="15"/>
  <c r="G55" i="15"/>
  <c r="H55" i="15" s="1"/>
  <c r="I55" i="15" s="1"/>
  <c r="K54" i="15"/>
  <c r="G54" i="15"/>
  <c r="H54" i="15" s="1"/>
  <c r="I54" i="15" s="1"/>
  <c r="K61" i="15"/>
  <c r="G53" i="15"/>
  <c r="H53" i="15" s="1"/>
  <c r="I53" i="15" s="1"/>
  <c r="I61" i="15" s="1"/>
  <c r="G47" i="15"/>
  <c r="H47" i="15" s="1"/>
  <c r="I47" i="15" s="1"/>
  <c r="K46" i="15"/>
  <c r="G46" i="15"/>
  <c r="H46" i="15" s="1"/>
  <c r="I46" i="15" s="1"/>
  <c r="K45" i="15"/>
  <c r="G45" i="15"/>
  <c r="H45" i="15" s="1"/>
  <c r="I45" i="15" s="1"/>
  <c r="G44" i="15"/>
  <c r="H44" i="15" s="1"/>
  <c r="I44" i="15" s="1"/>
  <c r="K43" i="15"/>
  <c r="G43" i="15"/>
  <c r="H43" i="15" s="1"/>
  <c r="I43" i="15" s="1"/>
  <c r="I49" i="15" s="1"/>
  <c r="G42" i="15"/>
  <c r="H42" i="15" s="1"/>
  <c r="I42" i="15" s="1"/>
  <c r="K41" i="15"/>
  <c r="G41" i="15"/>
  <c r="H41" i="15" s="1"/>
  <c r="I41" i="15" s="1"/>
  <c r="K40" i="15"/>
  <c r="G40" i="15"/>
  <c r="H40" i="15" s="1"/>
  <c r="I40" i="15" s="1"/>
  <c r="I48" i="15" s="1"/>
  <c r="K35" i="15"/>
  <c r="G35" i="15"/>
  <c r="H35" i="15" s="1"/>
  <c r="K34" i="15"/>
  <c r="G34" i="15"/>
  <c r="H34" i="15" s="1"/>
  <c r="I34" i="15" s="1"/>
  <c r="K33" i="15"/>
  <c r="G33" i="15"/>
  <c r="H33" i="15" s="1"/>
  <c r="I33" i="15" s="1"/>
  <c r="K32" i="15"/>
  <c r="G32" i="15"/>
  <c r="H32" i="15" s="1"/>
  <c r="I32" i="15" s="1"/>
  <c r="K31" i="15"/>
  <c r="G31" i="15"/>
  <c r="H31" i="15" s="1"/>
  <c r="I31" i="15" s="1"/>
  <c r="I36" i="15" s="1"/>
  <c r="K30" i="15"/>
  <c r="G30" i="15"/>
  <c r="H30" i="15" s="1"/>
  <c r="I30" i="15" s="1"/>
  <c r="G29" i="15"/>
  <c r="H29" i="15" s="1"/>
  <c r="I29" i="15" s="1"/>
  <c r="K28" i="15"/>
  <c r="G28" i="15"/>
  <c r="H28" i="15" s="1"/>
  <c r="I28" i="15" s="1"/>
  <c r="I37" i="15" s="1"/>
  <c r="K23" i="15"/>
  <c r="G23" i="15"/>
  <c r="H23" i="15" s="1"/>
  <c r="I23" i="15" s="1"/>
  <c r="K22" i="15"/>
  <c r="G22" i="15"/>
  <c r="H22" i="15" s="1"/>
  <c r="I22" i="15" s="1"/>
  <c r="G21" i="15"/>
  <c r="H21" i="15" s="1"/>
  <c r="I21" i="15" s="1"/>
  <c r="G20" i="15"/>
  <c r="H20" i="15" s="1"/>
  <c r="K19" i="15"/>
  <c r="G19" i="15"/>
  <c r="H19" i="15" s="1"/>
  <c r="I19" i="15" s="1"/>
  <c r="K18" i="15"/>
  <c r="G18" i="15"/>
  <c r="H18" i="15" s="1"/>
  <c r="I18" i="15" s="1"/>
  <c r="K17" i="15"/>
  <c r="G17" i="15"/>
  <c r="H17" i="15" s="1"/>
  <c r="I17" i="15" s="1"/>
  <c r="K16" i="15"/>
  <c r="K24" i="15" s="1"/>
  <c r="G16" i="15"/>
  <c r="H16" i="15" s="1"/>
  <c r="I16" i="15" s="1"/>
  <c r="I24" i="15" s="1"/>
  <c r="D12" i="15"/>
  <c r="J13" i="15"/>
  <c r="I13" i="15"/>
  <c r="H13" i="15"/>
  <c r="G13" i="15"/>
  <c r="F13" i="15"/>
  <c r="E13" i="15"/>
  <c r="D13" i="15"/>
  <c r="J12" i="15"/>
  <c r="I12" i="15"/>
  <c r="H12" i="15"/>
  <c r="G12" i="15"/>
  <c r="F12" i="15"/>
  <c r="E12" i="15"/>
  <c r="K5" i="15"/>
  <c r="K6" i="15"/>
  <c r="K12" i="15"/>
  <c r="K9" i="15"/>
  <c r="K11" i="15"/>
  <c r="K4" i="15"/>
  <c r="I11" i="15"/>
  <c r="I6" i="15"/>
  <c r="I7" i="15"/>
  <c r="I8" i="15"/>
  <c r="I9" i="15"/>
  <c r="I10" i="15"/>
  <c r="K6" i="14"/>
  <c r="I4" i="15"/>
  <c r="H5" i="15"/>
  <c r="H6" i="15"/>
  <c r="H7" i="15"/>
  <c r="H8" i="15"/>
  <c r="H9" i="15"/>
  <c r="H10" i="15"/>
  <c r="H11" i="15"/>
  <c r="H4" i="15"/>
  <c r="J6" i="14"/>
  <c r="G11" i="15"/>
  <c r="G5" i="15"/>
  <c r="G6" i="15"/>
  <c r="G7" i="15"/>
  <c r="G8" i="15"/>
  <c r="G9" i="15"/>
  <c r="G10" i="15"/>
  <c r="G4" i="15"/>
  <c r="I6" i="14"/>
  <c r="G6" i="14"/>
  <c r="J240" i="14"/>
  <c r="K243" i="14"/>
  <c r="K49" i="15" l="1"/>
  <c r="K36" i="15"/>
  <c r="K37" i="15"/>
  <c r="K13" i="15"/>
  <c r="H75" i="15"/>
  <c r="G75" i="15"/>
  <c r="G74" i="15"/>
  <c r="G62" i="15"/>
  <c r="K62" i="15"/>
  <c r="H61" i="15"/>
  <c r="I62" i="15"/>
  <c r="H62" i="15"/>
  <c r="G61" i="15"/>
  <c r="K48" i="15"/>
  <c r="H48" i="15"/>
  <c r="G48" i="15"/>
  <c r="G49" i="15"/>
  <c r="G37" i="15"/>
  <c r="H37" i="15"/>
  <c r="G36" i="15"/>
  <c r="H25" i="15"/>
  <c r="H24" i="15"/>
  <c r="I25" i="15"/>
  <c r="K25" i="15"/>
  <c r="G24" i="15"/>
  <c r="I246" i="14"/>
  <c r="I245" i="14"/>
  <c r="I244" i="14"/>
  <c r="I243" i="14"/>
  <c r="I242" i="14"/>
  <c r="I241" i="14"/>
  <c r="I240" i="14"/>
  <c r="I239" i="14"/>
  <c r="I234" i="14"/>
  <c r="I233" i="14"/>
  <c r="I232" i="14"/>
  <c r="I231" i="14"/>
  <c r="I230" i="14"/>
  <c r="I229" i="14"/>
  <c r="I228" i="14"/>
  <c r="I227" i="14"/>
  <c r="I222" i="14"/>
  <c r="I221" i="14"/>
  <c r="I220" i="14"/>
  <c r="I219" i="14"/>
  <c r="I218" i="14"/>
  <c r="I217" i="14"/>
  <c r="I216" i="14"/>
  <c r="I215" i="14"/>
  <c r="I210" i="14"/>
  <c r="I209" i="14"/>
  <c r="I208" i="14"/>
  <c r="I207" i="14"/>
  <c r="I206" i="14"/>
  <c r="I205" i="14"/>
  <c r="I204" i="14"/>
  <c r="I203" i="14"/>
  <c r="I191" i="14"/>
  <c r="I198" i="14"/>
  <c r="I197" i="14"/>
  <c r="I196" i="14"/>
  <c r="I195" i="14"/>
  <c r="I194" i="14"/>
  <c r="I193" i="14"/>
  <c r="I192" i="14"/>
  <c r="I185" i="14"/>
  <c r="I184" i="14"/>
  <c r="I183" i="14"/>
  <c r="I182" i="14"/>
  <c r="I181" i="14"/>
  <c r="I180" i="14"/>
  <c r="I179" i="14"/>
  <c r="I178" i="14"/>
  <c r="I172" i="14"/>
  <c r="I171" i="14"/>
  <c r="I170" i="14"/>
  <c r="I169" i="14"/>
  <c r="I168" i="14"/>
  <c r="I167" i="14"/>
  <c r="I166" i="14"/>
  <c r="I165" i="14"/>
  <c r="I159" i="14"/>
  <c r="I158" i="14"/>
  <c r="I157" i="14"/>
  <c r="I156" i="14"/>
  <c r="I155" i="14"/>
  <c r="I154" i="14"/>
  <c r="I153" i="14"/>
  <c r="I152" i="14"/>
  <c r="I146" i="14"/>
  <c r="I145" i="14"/>
  <c r="I144" i="14"/>
  <c r="I143" i="14"/>
  <c r="I142" i="14"/>
  <c r="I141" i="14"/>
  <c r="I140" i="14"/>
  <c r="I139" i="14"/>
  <c r="I133" i="14"/>
  <c r="I132" i="14"/>
  <c r="I131" i="14"/>
  <c r="I130" i="14"/>
  <c r="I129" i="14"/>
  <c r="I128" i="14"/>
  <c r="I127" i="14"/>
  <c r="I126" i="14"/>
  <c r="M117" i="14"/>
  <c r="I114" i="14"/>
  <c r="I115" i="14"/>
  <c r="I116" i="14"/>
  <c r="I117" i="14"/>
  <c r="I118" i="14"/>
  <c r="I119" i="14"/>
  <c r="I120" i="14"/>
  <c r="I113" i="14"/>
  <c r="I99" i="14" l="1"/>
  <c r="J95" i="14"/>
  <c r="F248" i="14"/>
  <c r="F247" i="14"/>
  <c r="F236" i="14"/>
  <c r="F235" i="14"/>
  <c r="F224" i="14"/>
  <c r="F223" i="14"/>
  <c r="F212" i="14"/>
  <c r="F211" i="14"/>
  <c r="F200" i="14"/>
  <c r="F199" i="14"/>
  <c r="F187" i="14"/>
  <c r="F186" i="14"/>
  <c r="F174" i="14"/>
  <c r="F173" i="14"/>
  <c r="F161" i="14"/>
  <c r="F160" i="14"/>
  <c r="F148" i="14"/>
  <c r="F147" i="14"/>
  <c r="F134" i="14"/>
  <c r="F135" i="14"/>
  <c r="F122" i="14"/>
  <c r="F121" i="14"/>
  <c r="F108" i="14"/>
  <c r="F107" i="14"/>
  <c r="F95" i="14"/>
  <c r="F94" i="14"/>
  <c r="F81" i="14"/>
  <c r="F80" i="14"/>
  <c r="F68" i="14"/>
  <c r="F67" i="14"/>
  <c r="F55" i="14"/>
  <c r="F54" i="14"/>
  <c r="F42" i="14"/>
  <c r="F41" i="14"/>
  <c r="F27" i="14"/>
  <c r="F28" i="14"/>
  <c r="F15" i="14"/>
  <c r="F14" i="14"/>
  <c r="G14" i="14"/>
  <c r="M184" i="14"/>
  <c r="M218" i="14"/>
  <c r="M219" i="14"/>
  <c r="M220" i="14"/>
  <c r="M221" i="14"/>
  <c r="M222" i="14"/>
  <c r="M229" i="14"/>
  <c r="M230" i="14"/>
  <c r="M240" i="14"/>
  <c r="M241" i="14"/>
  <c r="M242" i="14"/>
  <c r="M243" i="14"/>
  <c r="M244" i="14"/>
  <c r="M245" i="14"/>
  <c r="G235" i="14"/>
  <c r="G236" i="14"/>
  <c r="H235" i="14"/>
  <c r="H236" i="14"/>
  <c r="I235" i="14"/>
  <c r="H223" i="14"/>
  <c r="H211" i="14"/>
  <c r="J228" i="14"/>
  <c r="K228" i="14" s="1"/>
  <c r="M228" i="14"/>
  <c r="J229" i="14"/>
  <c r="K229" i="14" s="1"/>
  <c r="J230" i="14"/>
  <c r="K230" i="14"/>
  <c r="J231" i="14"/>
  <c r="K231" i="14" s="1"/>
  <c r="M231" i="14"/>
  <c r="J232" i="14"/>
  <c r="K232" i="14" s="1"/>
  <c r="M232" i="14"/>
  <c r="J233" i="14"/>
  <c r="K233" i="14"/>
  <c r="M233" i="14"/>
  <c r="J234" i="14"/>
  <c r="K234" i="14" s="1"/>
  <c r="M234" i="14"/>
  <c r="M227" i="14"/>
  <c r="J227" i="14"/>
  <c r="K227" i="14" s="1"/>
  <c r="H228" i="14"/>
  <c r="H229" i="14"/>
  <c r="H230" i="14"/>
  <c r="H231" i="14"/>
  <c r="H232" i="14"/>
  <c r="H233" i="14"/>
  <c r="H234" i="14"/>
  <c r="H227" i="14"/>
  <c r="J184" i="14"/>
  <c r="J113" i="14"/>
  <c r="I74" i="14"/>
  <c r="J75" i="14"/>
  <c r="I72" i="14"/>
  <c r="I186" i="14"/>
  <c r="K240" i="14"/>
  <c r="J241" i="14"/>
  <c r="K241" i="14" s="1"/>
  <c r="I248" i="14"/>
  <c r="J242" i="14"/>
  <c r="K242" i="14"/>
  <c r="J243" i="14"/>
  <c r="J244" i="14"/>
  <c r="K244" i="14" s="1"/>
  <c r="J245" i="14"/>
  <c r="K245" i="14" s="1"/>
  <c r="J246" i="14"/>
  <c r="K246" i="14" s="1"/>
  <c r="M246" i="14"/>
  <c r="M239" i="14"/>
  <c r="J239" i="14"/>
  <c r="K222" i="14"/>
  <c r="J216" i="14"/>
  <c r="K216" i="14" s="1"/>
  <c r="M216" i="14"/>
  <c r="J217" i="14"/>
  <c r="K217" i="14" s="1"/>
  <c r="M217" i="14"/>
  <c r="I223" i="14"/>
  <c r="J219" i="14"/>
  <c r="K219" i="14" s="1"/>
  <c r="J220" i="14"/>
  <c r="K220" i="14" s="1"/>
  <c r="J221" i="14"/>
  <c r="K221" i="14" s="1"/>
  <c r="J222" i="14"/>
  <c r="M215" i="14"/>
  <c r="J215" i="14"/>
  <c r="J204" i="14"/>
  <c r="K204" i="14" s="1"/>
  <c r="M204" i="14"/>
  <c r="J205" i="14"/>
  <c r="K205" i="14" s="1"/>
  <c r="M205" i="14"/>
  <c r="I212" i="14"/>
  <c r="J206" i="14"/>
  <c r="M206" i="14"/>
  <c r="J207" i="14"/>
  <c r="K207" i="14" s="1"/>
  <c r="M207" i="14"/>
  <c r="J208" i="14"/>
  <c r="K208" i="14" s="1"/>
  <c r="M208" i="14"/>
  <c r="I211" i="14"/>
  <c r="J209" i="14"/>
  <c r="K209" i="14" s="1"/>
  <c r="M209" i="14"/>
  <c r="J210" i="14"/>
  <c r="K210" i="14" s="1"/>
  <c r="M210" i="14"/>
  <c r="M203" i="14"/>
  <c r="J203" i="14"/>
  <c r="J192" i="14"/>
  <c r="K192" i="14" s="1"/>
  <c r="M192" i="14"/>
  <c r="J193" i="14"/>
  <c r="K193" i="14"/>
  <c r="M193" i="14"/>
  <c r="I199" i="14"/>
  <c r="J194" i="14"/>
  <c r="K194" i="14" s="1"/>
  <c r="M194" i="14"/>
  <c r="J195" i="14"/>
  <c r="K195" i="14" s="1"/>
  <c r="M195" i="14"/>
  <c r="J196" i="14"/>
  <c r="K196" i="14"/>
  <c r="M196" i="14"/>
  <c r="J197" i="14"/>
  <c r="K197" i="14"/>
  <c r="M197" i="14"/>
  <c r="J198" i="14"/>
  <c r="K198" i="14" s="1"/>
  <c r="M198" i="14"/>
  <c r="J191" i="14"/>
  <c r="M179" i="14"/>
  <c r="M180" i="14"/>
  <c r="M181" i="14"/>
  <c r="M182" i="14"/>
  <c r="M183" i="14"/>
  <c r="M185" i="14"/>
  <c r="K185" i="14"/>
  <c r="K179" i="14"/>
  <c r="J185" i="14"/>
  <c r="J179" i="14"/>
  <c r="J180" i="14"/>
  <c r="K180" i="14" s="1"/>
  <c r="J181" i="14"/>
  <c r="K181" i="14" s="1"/>
  <c r="J182" i="14"/>
  <c r="K182" i="14" s="1"/>
  <c r="M178" i="14"/>
  <c r="L248" i="14"/>
  <c r="H248" i="14"/>
  <c r="G248" i="14"/>
  <c r="L247" i="14"/>
  <c r="I247" i="14"/>
  <c r="H247" i="14"/>
  <c r="G247" i="14"/>
  <c r="L236" i="14"/>
  <c r="L235" i="14"/>
  <c r="L224" i="14"/>
  <c r="H224" i="14"/>
  <c r="G224" i="14"/>
  <c r="L223" i="14"/>
  <c r="G223" i="14"/>
  <c r="L212" i="14"/>
  <c r="H212" i="14"/>
  <c r="G212" i="14"/>
  <c r="L211" i="14"/>
  <c r="G211" i="14"/>
  <c r="M102" i="14"/>
  <c r="M103" i="14"/>
  <c r="M90" i="14"/>
  <c r="M91" i="14"/>
  <c r="M75" i="14"/>
  <c r="M76" i="14"/>
  <c r="M77" i="14"/>
  <c r="M78" i="14"/>
  <c r="M79" i="14"/>
  <c r="M81" i="14" s="1"/>
  <c r="M49" i="14"/>
  <c r="M50" i="14"/>
  <c r="M51" i="14"/>
  <c r="M52" i="14"/>
  <c r="M34" i="14"/>
  <c r="M35" i="14"/>
  <c r="M36" i="14"/>
  <c r="M37" i="14"/>
  <c r="M38" i="14"/>
  <c r="M39" i="14"/>
  <c r="M22" i="14"/>
  <c r="M23" i="14"/>
  <c r="M24" i="14"/>
  <c r="M14" i="14"/>
  <c r="M166" i="14"/>
  <c r="M167" i="14"/>
  <c r="M168" i="14"/>
  <c r="M169" i="14"/>
  <c r="M170" i="14"/>
  <c r="M173" i="14" s="1"/>
  <c r="M171" i="14"/>
  <c r="M172" i="14"/>
  <c r="M165" i="14"/>
  <c r="M153" i="14"/>
  <c r="M154" i="14"/>
  <c r="M155" i="14"/>
  <c r="M156" i="14"/>
  <c r="M157" i="14"/>
  <c r="M158" i="14"/>
  <c r="M159" i="14"/>
  <c r="M152" i="14"/>
  <c r="M161" i="14" s="1"/>
  <c r="M139" i="14"/>
  <c r="M148" i="14" s="1"/>
  <c r="M140" i="14"/>
  <c r="M141" i="14"/>
  <c r="M142" i="14"/>
  <c r="M143" i="14"/>
  <c r="M144" i="14"/>
  <c r="M145" i="14"/>
  <c r="M146" i="14"/>
  <c r="M126" i="14"/>
  <c r="M127" i="14"/>
  <c r="M134" i="14"/>
  <c r="M129" i="14"/>
  <c r="M130" i="14"/>
  <c r="M131" i="14"/>
  <c r="M132" i="14"/>
  <c r="M133" i="14"/>
  <c r="M115" i="14"/>
  <c r="M116" i="14"/>
  <c r="M118" i="14"/>
  <c r="M119" i="14"/>
  <c r="M120" i="14"/>
  <c r="M113" i="14"/>
  <c r="H199" i="14"/>
  <c r="L199" i="14"/>
  <c r="H200" i="14"/>
  <c r="L200" i="14"/>
  <c r="H186" i="14"/>
  <c r="L186" i="14"/>
  <c r="H187" i="14"/>
  <c r="L187" i="14"/>
  <c r="H173" i="14"/>
  <c r="L173" i="14"/>
  <c r="H174" i="14"/>
  <c r="L174" i="14"/>
  <c r="H160" i="14"/>
  <c r="L160" i="14"/>
  <c r="H161" i="14"/>
  <c r="L161" i="14"/>
  <c r="H147" i="14"/>
  <c r="L147" i="14"/>
  <c r="H148" i="14"/>
  <c r="L148" i="14"/>
  <c r="H134" i="14"/>
  <c r="L134" i="14"/>
  <c r="H135" i="14"/>
  <c r="L135" i="14"/>
  <c r="H121" i="14"/>
  <c r="L121" i="14"/>
  <c r="H122" i="14"/>
  <c r="L122" i="14"/>
  <c r="M122" i="14"/>
  <c r="H107" i="14"/>
  <c r="L107" i="14"/>
  <c r="H108" i="14"/>
  <c r="L108" i="14"/>
  <c r="M108" i="14"/>
  <c r="H94" i="14"/>
  <c r="L94" i="14"/>
  <c r="H95" i="14"/>
  <c r="L95" i="14"/>
  <c r="H80" i="14"/>
  <c r="L80" i="14"/>
  <c r="H81" i="14"/>
  <c r="L81" i="14"/>
  <c r="H67" i="14"/>
  <c r="L67" i="14"/>
  <c r="H68" i="14"/>
  <c r="L68" i="14"/>
  <c r="H54" i="14"/>
  <c r="L54" i="14"/>
  <c r="H55" i="14"/>
  <c r="L55" i="14"/>
  <c r="M55" i="14"/>
  <c r="H41" i="14"/>
  <c r="L41" i="14"/>
  <c r="H42" i="14"/>
  <c r="L42" i="14"/>
  <c r="M42" i="14"/>
  <c r="H27" i="14"/>
  <c r="L27" i="14"/>
  <c r="H28" i="14"/>
  <c r="L28" i="14"/>
  <c r="M15" i="14"/>
  <c r="H14" i="14"/>
  <c r="L14" i="14"/>
  <c r="H15" i="14"/>
  <c r="L15" i="14"/>
  <c r="K101" i="14"/>
  <c r="K64" i="14"/>
  <c r="K66" i="14"/>
  <c r="K49" i="14"/>
  <c r="J52" i="14"/>
  <c r="J34" i="14"/>
  <c r="K34" i="14" s="1"/>
  <c r="K42" i="14" s="1"/>
  <c r="K172" i="14"/>
  <c r="J165" i="14"/>
  <c r="K167" i="14"/>
  <c r="K168" i="14"/>
  <c r="K169" i="14"/>
  <c r="I173" i="14"/>
  <c r="J157" i="14"/>
  <c r="K157" i="14" s="1"/>
  <c r="J159" i="14"/>
  <c r="K159" i="14" s="1"/>
  <c r="J152" i="14"/>
  <c r="J153" i="14"/>
  <c r="J154" i="14"/>
  <c r="K154" i="14" s="1"/>
  <c r="J155" i="14"/>
  <c r="J156" i="14"/>
  <c r="K156" i="14" s="1"/>
  <c r="J158" i="14"/>
  <c r="K158" i="14" s="1"/>
  <c r="I160" i="14"/>
  <c r="J140" i="14"/>
  <c r="K140" i="14" s="1"/>
  <c r="J141" i="14"/>
  <c r="K141" i="14" s="1"/>
  <c r="J142" i="14"/>
  <c r="K142" i="14" s="1"/>
  <c r="I147" i="14"/>
  <c r="J143" i="14"/>
  <c r="K143" i="14" s="1"/>
  <c r="J144" i="14"/>
  <c r="K144" i="14" s="1"/>
  <c r="J145" i="14"/>
  <c r="K145" i="14" s="1"/>
  <c r="J146" i="14"/>
  <c r="K146" i="14" s="1"/>
  <c r="J139" i="14"/>
  <c r="G122" i="14"/>
  <c r="G121" i="14"/>
  <c r="J127" i="14"/>
  <c r="K127" i="14" s="1"/>
  <c r="J128" i="14"/>
  <c r="K128" i="14" s="1"/>
  <c r="J129" i="14"/>
  <c r="K129" i="14" s="1"/>
  <c r="J130" i="14"/>
  <c r="K130" i="14" s="1"/>
  <c r="J131" i="14"/>
  <c r="K131" i="14" s="1"/>
  <c r="J132" i="14"/>
  <c r="K132" i="14" s="1"/>
  <c r="J133" i="14"/>
  <c r="K133" i="14" s="1"/>
  <c r="J126" i="14"/>
  <c r="J114" i="14"/>
  <c r="K114" i="14" s="1"/>
  <c r="J115" i="14"/>
  <c r="K115" i="14" s="1"/>
  <c r="J116" i="14"/>
  <c r="K116" i="14" s="1"/>
  <c r="K122" i="14" s="1"/>
  <c r="J117" i="14"/>
  <c r="K117" i="14" s="1"/>
  <c r="J118" i="14"/>
  <c r="K118" i="14" s="1"/>
  <c r="J119" i="14"/>
  <c r="K119" i="14" s="1"/>
  <c r="J120" i="14"/>
  <c r="K120" i="14" s="1"/>
  <c r="K113" i="14"/>
  <c r="I107" i="14"/>
  <c r="G200" i="14"/>
  <c r="G199" i="14"/>
  <c r="G187" i="14"/>
  <c r="G186" i="14"/>
  <c r="G174" i="14"/>
  <c r="G173" i="14"/>
  <c r="G161" i="14"/>
  <c r="G160" i="14"/>
  <c r="G148" i="14"/>
  <c r="G147" i="14"/>
  <c r="G135" i="14"/>
  <c r="G134" i="14"/>
  <c r="K33" i="3"/>
  <c r="H33" i="3"/>
  <c r="I33" i="3"/>
  <c r="J33" i="3"/>
  <c r="G33" i="3"/>
  <c r="K32" i="3"/>
  <c r="G32" i="3"/>
  <c r="G31" i="3"/>
  <c r="H31" i="3"/>
  <c r="I31" i="3"/>
  <c r="J31" i="3" s="1"/>
  <c r="K31" i="3"/>
  <c r="H32" i="3"/>
  <c r="I32" i="3"/>
  <c r="J32" i="3"/>
  <c r="I103" i="14"/>
  <c r="J103" i="14" s="1"/>
  <c r="K103" i="14" s="1"/>
  <c r="I106" i="14"/>
  <c r="J106" i="14" s="1"/>
  <c r="K106" i="14" s="1"/>
  <c r="I101" i="14"/>
  <c r="J101" i="14" s="1"/>
  <c r="I88" i="14"/>
  <c r="J88" i="14" s="1"/>
  <c r="I105" i="14"/>
  <c r="J105" i="14" s="1"/>
  <c r="K105" i="14" s="1"/>
  <c r="I100" i="14"/>
  <c r="J100" i="14" s="1"/>
  <c r="I93" i="14"/>
  <c r="J93" i="14" s="1"/>
  <c r="K93" i="14" s="1"/>
  <c r="M100" i="14"/>
  <c r="M104" i="14"/>
  <c r="M105" i="14"/>
  <c r="M106" i="14"/>
  <c r="M87" i="14"/>
  <c r="M95" i="14" s="1"/>
  <c r="M88" i="14"/>
  <c r="M89" i="14"/>
  <c r="M92" i="14"/>
  <c r="M93" i="14"/>
  <c r="M73" i="14"/>
  <c r="M74" i="14"/>
  <c r="M60" i="14"/>
  <c r="M61" i="14"/>
  <c r="M62" i="14"/>
  <c r="M63" i="14"/>
  <c r="M64" i="14"/>
  <c r="M65" i="14"/>
  <c r="M66" i="14"/>
  <c r="M67" i="14" s="1"/>
  <c r="M47" i="14"/>
  <c r="M48" i="14"/>
  <c r="M53" i="14"/>
  <c r="M99" i="14"/>
  <c r="M107" i="14" s="1"/>
  <c r="M86" i="14"/>
  <c r="M94" i="14" s="1"/>
  <c r="M72" i="14"/>
  <c r="M80" i="14" s="1"/>
  <c r="M59" i="14"/>
  <c r="M68" i="14" s="1"/>
  <c r="M46" i="14"/>
  <c r="M54" i="14" s="1"/>
  <c r="M40" i="14"/>
  <c r="M33" i="14"/>
  <c r="M41" i="14" s="1"/>
  <c r="M26" i="14"/>
  <c r="M20" i="14"/>
  <c r="M28" i="14" s="1"/>
  <c r="M21" i="14"/>
  <c r="M25" i="14"/>
  <c r="M19" i="14"/>
  <c r="M27" i="14" s="1"/>
  <c r="M12" i="14"/>
  <c r="M13" i="14"/>
  <c r="G100" i="14"/>
  <c r="G101" i="14"/>
  <c r="G102" i="14"/>
  <c r="G103" i="14"/>
  <c r="G104" i="14"/>
  <c r="G105" i="14"/>
  <c r="G106" i="14"/>
  <c r="G99" i="14"/>
  <c r="G87" i="14"/>
  <c r="G88" i="14"/>
  <c r="G89" i="14"/>
  <c r="G90" i="14"/>
  <c r="G91" i="14"/>
  <c r="G92" i="14"/>
  <c r="G93" i="14"/>
  <c r="G86" i="14"/>
  <c r="G73" i="14"/>
  <c r="G74" i="14"/>
  <c r="G75" i="14"/>
  <c r="G76" i="14"/>
  <c r="G77" i="14"/>
  <c r="G78" i="14"/>
  <c r="G79" i="14"/>
  <c r="G72" i="14"/>
  <c r="G60" i="14"/>
  <c r="G61" i="14"/>
  <c r="G62" i="14"/>
  <c r="G63" i="14"/>
  <c r="G64" i="14"/>
  <c r="G65" i="14"/>
  <c r="G66" i="14"/>
  <c r="G59" i="14"/>
  <c r="G47" i="14"/>
  <c r="G48" i="14"/>
  <c r="G49" i="14"/>
  <c r="G50" i="14"/>
  <c r="G51" i="14"/>
  <c r="G52" i="14"/>
  <c r="G53" i="14"/>
  <c r="G46" i="14"/>
  <c r="G34" i="14"/>
  <c r="G35" i="14"/>
  <c r="G36" i="14"/>
  <c r="G37" i="14"/>
  <c r="G38" i="14"/>
  <c r="G39" i="14"/>
  <c r="G40" i="14"/>
  <c r="G33" i="14"/>
  <c r="G20" i="14"/>
  <c r="G21" i="14"/>
  <c r="G22" i="14"/>
  <c r="G23" i="14"/>
  <c r="G24" i="14"/>
  <c r="G25" i="14"/>
  <c r="G26" i="14"/>
  <c r="G19" i="14"/>
  <c r="G7" i="14"/>
  <c r="G8" i="14"/>
  <c r="G9" i="14"/>
  <c r="G10" i="14"/>
  <c r="G11" i="14"/>
  <c r="G12" i="14"/>
  <c r="G13" i="14"/>
  <c r="I104" i="14"/>
  <c r="J104" i="14" s="1"/>
  <c r="K104" i="14" s="1"/>
  <c r="I102" i="14"/>
  <c r="J102" i="14" s="1"/>
  <c r="I92" i="14"/>
  <c r="I91" i="14"/>
  <c r="J91" i="14" s="1"/>
  <c r="K91" i="14" s="1"/>
  <c r="I90" i="14"/>
  <c r="J90" i="14" s="1"/>
  <c r="K90" i="14" s="1"/>
  <c r="I89" i="14"/>
  <c r="J89" i="14" s="1"/>
  <c r="K89" i="14" s="1"/>
  <c r="I87" i="14"/>
  <c r="J87" i="14" s="1"/>
  <c r="K87" i="14" s="1"/>
  <c r="I86" i="14"/>
  <c r="J86" i="14" s="1"/>
  <c r="K86" i="14" s="1"/>
  <c r="I79" i="14"/>
  <c r="J79" i="14" s="1"/>
  <c r="K79" i="14" s="1"/>
  <c r="I78" i="14"/>
  <c r="J78" i="14" s="1"/>
  <c r="K78" i="14" s="1"/>
  <c r="I77" i="14"/>
  <c r="J77" i="14" s="1"/>
  <c r="K77" i="14" s="1"/>
  <c r="I76" i="14"/>
  <c r="J76" i="14" s="1"/>
  <c r="K76" i="14" s="1"/>
  <c r="I75" i="14"/>
  <c r="K75" i="14" s="1"/>
  <c r="J74" i="14"/>
  <c r="K74" i="14" s="1"/>
  <c r="I73" i="14"/>
  <c r="J73" i="14" s="1"/>
  <c r="K73" i="14" s="1"/>
  <c r="J72" i="14"/>
  <c r="J80" i="14" s="1"/>
  <c r="I66" i="14"/>
  <c r="J66" i="14" s="1"/>
  <c r="I65" i="14"/>
  <c r="J65" i="14" s="1"/>
  <c r="K65" i="14" s="1"/>
  <c r="I64" i="14"/>
  <c r="J64" i="14" s="1"/>
  <c r="I63" i="14"/>
  <c r="J63" i="14" s="1"/>
  <c r="K63" i="14" s="1"/>
  <c r="I62" i="14"/>
  <c r="J62" i="14" s="1"/>
  <c r="K62" i="14" s="1"/>
  <c r="I61" i="14"/>
  <c r="J61" i="14" s="1"/>
  <c r="K61" i="14" s="1"/>
  <c r="I60" i="14"/>
  <c r="J60" i="14" s="1"/>
  <c r="K60" i="14" s="1"/>
  <c r="I59" i="14"/>
  <c r="J59" i="14" s="1"/>
  <c r="K59" i="14" s="1"/>
  <c r="K68" i="14" s="1"/>
  <c r="I53" i="14"/>
  <c r="J53" i="14" s="1"/>
  <c r="K53" i="14" s="1"/>
  <c r="I52" i="14"/>
  <c r="I51" i="14"/>
  <c r="I50" i="14"/>
  <c r="J50" i="14" s="1"/>
  <c r="K50" i="14" s="1"/>
  <c r="I49" i="14"/>
  <c r="J49" i="14" s="1"/>
  <c r="I48" i="14"/>
  <c r="J48" i="14" s="1"/>
  <c r="K48" i="14" s="1"/>
  <c r="I47" i="14"/>
  <c r="J47" i="14" s="1"/>
  <c r="K47" i="14" s="1"/>
  <c r="I46" i="14"/>
  <c r="J46" i="14" s="1"/>
  <c r="K46" i="14" s="1"/>
  <c r="I40" i="14"/>
  <c r="J40" i="14" s="1"/>
  <c r="K40" i="14" s="1"/>
  <c r="I39" i="14"/>
  <c r="J39" i="14" s="1"/>
  <c r="K39" i="14" s="1"/>
  <c r="I38" i="14"/>
  <c r="J38" i="14" s="1"/>
  <c r="K38" i="14" s="1"/>
  <c r="I37" i="14"/>
  <c r="J37" i="14" s="1"/>
  <c r="K37" i="14" s="1"/>
  <c r="I36" i="14"/>
  <c r="J36" i="14" s="1"/>
  <c r="K36" i="14" s="1"/>
  <c r="I35" i="14"/>
  <c r="J35" i="14" s="1"/>
  <c r="K35" i="14" s="1"/>
  <c r="I34" i="14"/>
  <c r="I33" i="14"/>
  <c r="J33" i="14" s="1"/>
  <c r="K33" i="14" s="1"/>
  <c r="K41" i="14" s="1"/>
  <c r="I26" i="14"/>
  <c r="J26" i="14" s="1"/>
  <c r="K26" i="14" s="1"/>
  <c r="I25" i="14"/>
  <c r="J25" i="14" s="1"/>
  <c r="K25" i="14" s="1"/>
  <c r="I24" i="14"/>
  <c r="J24" i="14" s="1"/>
  <c r="K24" i="14" s="1"/>
  <c r="I23" i="14"/>
  <c r="J23" i="14" s="1"/>
  <c r="K23" i="14" s="1"/>
  <c r="I22" i="14"/>
  <c r="J22" i="14" s="1"/>
  <c r="K22" i="14" s="1"/>
  <c r="I21" i="14"/>
  <c r="J21" i="14" s="1"/>
  <c r="K21" i="14" s="1"/>
  <c r="I20" i="14"/>
  <c r="J20" i="14" s="1"/>
  <c r="K20" i="14" s="1"/>
  <c r="I19" i="14"/>
  <c r="J19" i="14" s="1"/>
  <c r="K19" i="14" s="1"/>
  <c r="K28" i="14" s="1"/>
  <c r="I13" i="14"/>
  <c r="J13" i="14" s="1"/>
  <c r="K13" i="14" s="1"/>
  <c r="K15" i="14" s="1"/>
  <c r="I12" i="14"/>
  <c r="J12" i="14" s="1"/>
  <c r="K12" i="14" s="1"/>
  <c r="I11" i="14"/>
  <c r="J11" i="14" s="1"/>
  <c r="K11" i="14" s="1"/>
  <c r="I10" i="14"/>
  <c r="J10" i="14" s="1"/>
  <c r="K10" i="14" s="1"/>
  <c r="I9" i="14"/>
  <c r="J9" i="14" s="1"/>
  <c r="K9" i="14" s="1"/>
  <c r="I8" i="14"/>
  <c r="J8" i="14" s="1"/>
  <c r="K8" i="14" s="1"/>
  <c r="I7" i="14"/>
  <c r="J7" i="14" s="1"/>
  <c r="K7" i="14" s="1"/>
  <c r="K14" i="14"/>
  <c r="J134" i="14" l="1"/>
  <c r="K121" i="14"/>
  <c r="M186" i="14"/>
  <c r="I236" i="14"/>
  <c r="M248" i="14"/>
  <c r="M247" i="14"/>
  <c r="K239" i="14"/>
  <c r="J248" i="14"/>
  <c r="J247" i="14"/>
  <c r="M235" i="14"/>
  <c r="M236" i="14"/>
  <c r="J235" i="14"/>
  <c r="J236" i="14"/>
  <c r="M223" i="14"/>
  <c r="M224" i="14"/>
  <c r="J218" i="14"/>
  <c r="K218" i="14" s="1"/>
  <c r="I224" i="14"/>
  <c r="K215" i="14"/>
  <c r="K224" i="14" s="1"/>
  <c r="J223" i="14"/>
  <c r="J224" i="14"/>
  <c r="M211" i="14"/>
  <c r="M212" i="14"/>
  <c r="K203" i="14"/>
  <c r="J212" i="14"/>
  <c r="J211" i="14"/>
  <c r="M200" i="14"/>
  <c r="M199" i="14"/>
  <c r="K191" i="14"/>
  <c r="J199" i="14"/>
  <c r="J200" i="14"/>
  <c r="I200" i="14"/>
  <c r="M187" i="14"/>
  <c r="J174" i="14"/>
  <c r="K166" i="14"/>
  <c r="K174" i="14"/>
  <c r="K173" i="14"/>
  <c r="K153" i="14"/>
  <c r="J161" i="14"/>
  <c r="K161" i="14"/>
  <c r="K160" i="14"/>
  <c r="K139" i="14"/>
  <c r="J148" i="14"/>
  <c r="J147" i="14"/>
  <c r="M135" i="14"/>
  <c r="K126" i="14"/>
  <c r="J42" i="14"/>
  <c r="J122" i="14"/>
  <c r="I28" i="14"/>
  <c r="I42" i="14"/>
  <c r="I55" i="14"/>
  <c r="I81" i="14"/>
  <c r="I95" i="14"/>
  <c r="I108" i="14"/>
  <c r="I122" i="14"/>
  <c r="M147" i="14"/>
  <c r="J68" i="14"/>
  <c r="J173" i="14"/>
  <c r="I174" i="14"/>
  <c r="J15" i="14"/>
  <c r="I15" i="14"/>
  <c r="I68" i="14"/>
  <c r="K67" i="14"/>
  <c r="J160" i="14"/>
  <c r="I187" i="14"/>
  <c r="J183" i="14"/>
  <c r="J135" i="14"/>
  <c r="I161" i="14"/>
  <c r="J67" i="14"/>
  <c r="M160" i="14"/>
  <c r="J178" i="14"/>
  <c r="K178" i="14" s="1"/>
  <c r="J99" i="14"/>
  <c r="J14" i="14"/>
  <c r="K27" i="14"/>
  <c r="I67" i="14"/>
  <c r="J121" i="14"/>
  <c r="I134" i="14"/>
  <c r="M121" i="14"/>
  <c r="I148" i="14"/>
  <c r="J81" i="14"/>
  <c r="I14" i="14"/>
  <c r="J27" i="14"/>
  <c r="J41" i="14"/>
  <c r="J54" i="14"/>
  <c r="J94" i="14"/>
  <c r="I121" i="14"/>
  <c r="I135" i="14"/>
  <c r="J28" i="14"/>
  <c r="K51" i="14"/>
  <c r="K55" i="14" s="1"/>
  <c r="K52" i="14"/>
  <c r="J51" i="14"/>
  <c r="J55" i="14" s="1"/>
  <c r="I27" i="14"/>
  <c r="I41" i="14"/>
  <c r="I54" i="14"/>
  <c r="I80" i="14"/>
  <c r="I94" i="14"/>
  <c r="M174" i="14"/>
  <c r="G15" i="14"/>
  <c r="G95" i="14"/>
  <c r="G81" i="14"/>
  <c r="G41" i="14"/>
  <c r="G42" i="14"/>
  <c r="G54" i="14"/>
  <c r="G28" i="14"/>
  <c r="G68" i="14"/>
  <c r="G108" i="14"/>
  <c r="K88" i="14"/>
  <c r="G55" i="14"/>
  <c r="G67" i="14"/>
  <c r="G80" i="14"/>
  <c r="G94" i="14"/>
  <c r="G27" i="14"/>
  <c r="G107" i="14"/>
  <c r="K72" i="14"/>
  <c r="J92" i="14"/>
  <c r="K100" i="14"/>
  <c r="G30" i="3"/>
  <c r="H30" i="3" s="1"/>
  <c r="H29" i="3"/>
  <c r="K29" i="3"/>
  <c r="G29" i="3"/>
  <c r="I29" i="3" s="1"/>
  <c r="J29" i="3" s="1"/>
  <c r="G28" i="3"/>
  <c r="K28" i="3" s="1"/>
  <c r="G12" i="3"/>
  <c r="I12" i="3" s="1"/>
  <c r="J12" i="3" s="1"/>
  <c r="G21" i="3"/>
  <c r="H21" i="3" s="1"/>
  <c r="E11" i="3"/>
  <c r="E16" i="3"/>
  <c r="E17" i="3"/>
  <c r="G23" i="3"/>
  <c r="H23" i="3" s="1"/>
  <c r="C11" i="3"/>
  <c r="D11" i="3"/>
  <c r="C12" i="3"/>
  <c r="D12" i="3"/>
  <c r="E12" i="3"/>
  <c r="C13" i="3"/>
  <c r="D13" i="3"/>
  <c r="E13" i="3"/>
  <c r="C14" i="3"/>
  <c r="G13" i="3" s="1"/>
  <c r="D14" i="3"/>
  <c r="E14" i="3"/>
  <c r="C15" i="3"/>
  <c r="G15" i="3" s="1"/>
  <c r="D15" i="3"/>
  <c r="E15" i="3"/>
  <c r="C16" i="3"/>
  <c r="G16" i="3" s="1"/>
  <c r="D16" i="3"/>
  <c r="C17" i="3"/>
  <c r="G17" i="3" s="1"/>
  <c r="D17" i="3"/>
  <c r="C18" i="3"/>
  <c r="G18" i="3" s="1"/>
  <c r="D18" i="3"/>
  <c r="E18" i="3"/>
  <c r="C19" i="3"/>
  <c r="G19" i="3" s="1"/>
  <c r="D19" i="3"/>
  <c r="E19" i="3"/>
  <c r="C20" i="3"/>
  <c r="G20" i="3" s="1"/>
  <c r="D20" i="3"/>
  <c r="E20" i="3"/>
  <c r="C21" i="3"/>
  <c r="D21" i="3"/>
  <c r="E21" i="3"/>
  <c r="C22" i="3"/>
  <c r="G22" i="3" s="1"/>
  <c r="D22" i="3"/>
  <c r="E22" i="3"/>
  <c r="C23" i="3"/>
  <c r="D23" i="3"/>
  <c r="E23" i="3"/>
  <c r="C24" i="3"/>
  <c r="G24" i="3" s="1"/>
  <c r="D24" i="3"/>
  <c r="E24" i="3"/>
  <c r="C25" i="3"/>
  <c r="G25" i="3" s="1"/>
  <c r="D25" i="3"/>
  <c r="E25" i="3"/>
  <c r="C26" i="3"/>
  <c r="G26" i="3" s="1"/>
  <c r="D26" i="3"/>
  <c r="E26" i="3"/>
  <c r="C27" i="3"/>
  <c r="G27" i="3" s="1"/>
  <c r="K27" i="3" s="1"/>
  <c r="D27" i="3"/>
  <c r="E27" i="3"/>
  <c r="J187" i="14" l="1"/>
  <c r="K183" i="14"/>
  <c r="K187" i="14" s="1"/>
  <c r="K248" i="14"/>
  <c r="K247" i="14"/>
  <c r="K235" i="14"/>
  <c r="K236" i="14"/>
  <c r="K223" i="14"/>
  <c r="K212" i="14"/>
  <c r="K211" i="14"/>
  <c r="K199" i="14"/>
  <c r="K200" i="14"/>
  <c r="K94" i="14"/>
  <c r="J186" i="14"/>
  <c r="K135" i="14"/>
  <c r="K134" i="14"/>
  <c r="K148" i="14"/>
  <c r="K147" i="14"/>
  <c r="J107" i="14"/>
  <c r="J108" i="14"/>
  <c r="K81" i="14"/>
  <c r="K80" i="14"/>
  <c r="K95" i="14"/>
  <c r="K54" i="14"/>
  <c r="K92" i="14"/>
  <c r="K22" i="3"/>
  <c r="H22" i="3"/>
  <c r="I22" i="3"/>
  <c r="J22" i="3" s="1"/>
  <c r="H18" i="3"/>
  <c r="I18" i="3"/>
  <c r="J18" i="3" s="1"/>
  <c r="K18" i="3"/>
  <c r="J23" i="3"/>
  <c r="K26" i="3"/>
  <c r="H26" i="3"/>
  <c r="I26" i="3"/>
  <c r="J26" i="3" s="1"/>
  <c r="H20" i="3"/>
  <c r="K20" i="3"/>
  <c r="H13" i="3"/>
  <c r="K13" i="3"/>
  <c r="I19" i="3"/>
  <c r="J19" i="3" s="1"/>
  <c r="G14" i="3"/>
  <c r="K14" i="3" s="1"/>
  <c r="K12" i="3"/>
  <c r="I30" i="3"/>
  <c r="J30" i="3" s="1"/>
  <c r="K23" i="3"/>
  <c r="H28" i="3"/>
  <c r="K30" i="3"/>
  <c r="H12" i="3"/>
  <c r="I28" i="3"/>
  <c r="J28" i="3" s="1"/>
  <c r="I23" i="3"/>
  <c r="H25" i="3"/>
  <c r="I25" i="3"/>
  <c r="K25" i="3"/>
  <c r="K17" i="3"/>
  <c r="H17" i="3"/>
  <c r="I17" i="3"/>
  <c r="J17" i="3" s="1"/>
  <c r="H24" i="3"/>
  <c r="K24" i="3"/>
  <c r="K15" i="3"/>
  <c r="I15" i="3"/>
  <c r="J15" i="3" s="1"/>
  <c r="H15" i="3"/>
  <c r="I14" i="3"/>
  <c r="J14" i="3" s="1"/>
  <c r="J25" i="3"/>
  <c r="I21" i="3"/>
  <c r="J21" i="3" s="1"/>
  <c r="K21" i="3"/>
  <c r="H19" i="3"/>
  <c r="I20" i="3"/>
  <c r="J20" i="3" s="1"/>
  <c r="I24" i="3"/>
  <c r="J24" i="3" s="1"/>
  <c r="K19" i="3"/>
  <c r="I13" i="3"/>
  <c r="J13" i="3" s="1"/>
  <c r="K186" i="14" l="1"/>
  <c r="K107" i="14"/>
  <c r="K108" i="14"/>
  <c r="H14" i="3"/>
  <c r="I27" i="3"/>
  <c r="J27" i="3" s="1"/>
  <c r="H27" i="3"/>
  <c r="I16" i="3"/>
  <c r="J16" i="3" s="1"/>
  <c r="K16" i="3"/>
  <c r="H16" i="3"/>
</calcChain>
</file>

<file path=xl/sharedStrings.xml><?xml version="1.0" encoding="utf-8"?>
<sst xmlns="http://schemas.openxmlformats.org/spreadsheetml/2006/main" count="3499" uniqueCount="1119">
  <si>
    <t>Nazwa (skład)</t>
  </si>
  <si>
    <t>nr. Próbki</t>
  </si>
  <si>
    <t>steżenie fazy stałej 
[%obj]</t>
  </si>
  <si>
    <t>stężenie upłynniacza 
[%wag w stos do masy proszku]</t>
  </si>
  <si>
    <t>ilość porogenu 
[ %wag w stosunku do masy proszku]</t>
  </si>
  <si>
    <t>Lepkość dla wartości 10^0</t>
  </si>
  <si>
    <t>Lepkość dla wartości 10^1</t>
  </si>
  <si>
    <t xml:space="preserve">Obserwacje: </t>
  </si>
  <si>
    <t>35 % Al2O3  0,5% alginianu  0,2% CE64 10% CC31 2025-10-21 172416</t>
  </si>
  <si>
    <t>Masa bardo ciagnaca i gęsta, struktura trochę jak pasta</t>
  </si>
  <si>
    <t>35 % Al2O3  0,5% alginianu  0,4% CE64 20% CC31 2025-10-21 174521</t>
  </si>
  <si>
    <t>35 % Al2O3  0,5% alginianu  0,6% CE64 30% CC31 2025-10-22 172539</t>
  </si>
  <si>
    <t>Masa bardzo  ciagnąca,powstaja twn. ogony, brak kropel</t>
  </si>
  <si>
    <t>30 % Al2O3  0,5% alginianu  0,2% CE64 20% CC31 2025-10-23 172619</t>
  </si>
  <si>
    <t>Masa mniej ciagnaca, troche bardziej lejna ale nadal nie powstają kullki a krople z ogonami</t>
  </si>
  <si>
    <t>30 % Al2O3  0,5% alginianu  0,4% CE64 10% CC31 2025-10-23 174640</t>
  </si>
  <si>
    <t>Powstają krople, ale należy wkraplać blisko powierzchni lustra wody żeby powstał kształ kulki, inaczej powstają ogony</t>
  </si>
  <si>
    <t>30 % Al2O3  0,5% alginianu  0,6% CE64 40% CC31  2025-10-29 174510</t>
  </si>
  <si>
    <t xml:space="preserve">Masa bardzo ciągnaca i gęsta, , struktura trochę jak pasta,  nie rodziela się na krople, powstaje długi wąż </t>
  </si>
  <si>
    <t>30 % Al2O3  0,5% alginianu  0,8% CE64 30% CC31 2025-10-29 174413</t>
  </si>
  <si>
    <t>25 % Al2O3  0,5% alginianu  0,2% CE64 40% CC31 2025-10-30 170410</t>
  </si>
  <si>
    <t>25 % Al2O3  0,5% alginianu  0,4% CE64 30% CC31 2025-10-30 172837</t>
  </si>
  <si>
    <t>25 % Al2O3  0,5% alginianu  0,6% CE64 10% CC31 2025-10-30 174932</t>
  </si>
  <si>
    <t>Powstają krople, ale zarówno blisko jak i daleko od  powierzchni lustra wody krople spłaszczają się, powstają również malutkie ogonki</t>
  </si>
  <si>
    <t>25 % Al2O3  0,5% alginianu  0,8% CE64 20% CC31 2025-10-31 152835</t>
  </si>
  <si>
    <t>20 % Al2O3  0,5% alginianu  0,2% CE64 30% CC31 2025-10-31 154733</t>
  </si>
  <si>
    <t>20 % Al2O3  0,5% alginianu  0,4% CE64 40% CC31 2025-11-04 170103</t>
  </si>
  <si>
    <t>20 % Al2O3  0,5% alginianu  0,6% CE64 20% CC31 2025-11-04 171901</t>
  </si>
  <si>
    <t>Najlepsza masa, powstają kształtne kulki zarówno blizko jak i daleko od lustra wody kulki nie spłaszczają się</t>
  </si>
  <si>
    <t>najlepsze kulki</t>
  </si>
  <si>
    <t>20 % Al2O3  0,5% alginianu  0,8% CE64 10% CC31 2025-11-04 174010</t>
  </si>
  <si>
    <t>25 % Al2O3  0,5% alginianu  0,6% CE64 30% CC31 2025-11-05 171828</t>
  </si>
  <si>
    <t>25 % Al2O3  0,5% alginianu  0,4% CE64 30% CC31 2025-10-30 172837 (drugi pomiar)</t>
  </si>
  <si>
    <t>25 % Al2O3  0,5% alginianu  0,6% CE64 20% CC31 2025-11-06 165726</t>
  </si>
  <si>
    <t>Powstają krople i struktury na kształt tabletki, zarówno blisko jak i daleko od  powierzchni lustra wody krople spłaszczają się, wystepują malutkie ogonki</t>
  </si>
  <si>
    <t xml:space="preserve">20 % Al2O3  0,5% alginianu  0,8% CE64 20% CC31 </t>
  </si>
  <si>
    <t xml:space="preserve">drugi pomiar </t>
  </si>
  <si>
    <t xml:space="preserve">20 % Al2O3  0,5% alginianu  0,8% CE64 25% CC31 </t>
  </si>
  <si>
    <t xml:space="preserve">15 % Al2O3  0,5% alginianu  0,8% CE64 25% CC31 </t>
  </si>
  <si>
    <t>d.pocz. Proszku</t>
  </si>
  <si>
    <t>cc31</t>
  </si>
  <si>
    <t>Nr. Masy</t>
  </si>
  <si>
    <t>masa proszku</t>
  </si>
  <si>
    <t>masa upłynniacza</t>
  </si>
  <si>
    <t>woda w upłynniaczu</t>
  </si>
  <si>
    <t>masa wody do dodania</t>
  </si>
  <si>
    <t>ilość porogenu</t>
  </si>
  <si>
    <t>komentarze</t>
  </si>
  <si>
    <t>wtorek</t>
  </si>
  <si>
    <t>bardo ciagnace i gęstę, struktura trochę jak pasta</t>
  </si>
  <si>
    <t>środa</t>
  </si>
  <si>
    <t>bardzo  ciagnące, robia się ogony, brak kropel</t>
  </si>
  <si>
    <t>czwartek</t>
  </si>
  <si>
    <t>mniej ciagnace, troszke bardziej lejne ale nadal nie powstają kule a krople z ogonami</t>
  </si>
  <si>
    <t>powstają krople, ale należy blisko powierzchni lustra wody żeby był kształ kulki inaczej powstają ogony</t>
  </si>
  <si>
    <t>środa (29.10)</t>
  </si>
  <si>
    <t>bardo ciagnace i gęstę, masa nie rodziela się na krople, długi wąż , struktura trochę jak pasta</t>
  </si>
  <si>
    <t>czwartek (30.10)</t>
  </si>
  <si>
    <t>powstają krople, ale zarówno wysoko jak i nisko(  blisko/daleko) powierzchni lustra wody krople spłaszczają się, powstaja krople a nie kulki (malutkie ogonki)</t>
  </si>
  <si>
    <t>piątek (31.10)</t>
  </si>
  <si>
    <t>wtorek (4.11)</t>
  </si>
  <si>
    <t>najlepsza masa, powstają ładne kulki, nawej z wyższej wysokości od lustra wody nie spłaszczają się</t>
  </si>
  <si>
    <t>powstają krople i takie tabletki? , ale zarówno wysoko jak i nisko(  blisko/daleko) powierzchni lustra wody krople spłaszczają się, powstaja krople a nie kulki (malutkie ogonki)</t>
  </si>
  <si>
    <t>Skład masy</t>
  </si>
  <si>
    <t>Średnica igły</t>
  </si>
  <si>
    <t>Ciśnienie</t>
  </si>
  <si>
    <t>Czas otwierania Tłoku</t>
  </si>
  <si>
    <t>Wysokość od powierzchni ciechy</t>
  </si>
  <si>
    <t>Stężenia roztworu CaCl2</t>
  </si>
  <si>
    <t>Porowatość całkowita</t>
  </si>
  <si>
    <t>Wytrzymałośc na ściskanie</t>
  </si>
  <si>
    <t>masa [g]</t>
  </si>
  <si>
    <t>średnica [mm]</t>
  </si>
  <si>
    <t>gęstość [g/cm3]</t>
  </si>
  <si>
    <t>Numer</t>
  </si>
  <si>
    <t>Średnia</t>
  </si>
  <si>
    <t>odchylenie</t>
  </si>
  <si>
    <t>0,5 cm</t>
  </si>
  <si>
    <t>1 cm</t>
  </si>
  <si>
    <t>0,5 cm-0,7 cm</t>
  </si>
  <si>
    <t>20 % Al2O3  0,5% alginianu  0,6% CE64 20% CC31</t>
  </si>
  <si>
    <t>pod koniec zmiana z 17 na 40 żeby reszta masy poszła ?</t>
  </si>
  <si>
    <t xml:space="preserve">0,5 cm </t>
  </si>
  <si>
    <t>5% (+gliceryna)</t>
  </si>
  <si>
    <t>0,8/ścięta</t>
  </si>
  <si>
    <t>0,5-0,7 cm</t>
  </si>
  <si>
    <t>ścieta igła\</t>
  </si>
  <si>
    <t>powtarzalnośc parametrów/</t>
  </si>
  <si>
    <t>skład 20/</t>
  </si>
  <si>
    <t>roztwór chlorku z gliceryną/</t>
  </si>
  <si>
    <t>0,5 cm/</t>
  </si>
  <si>
    <r>
      <t xml:space="preserve">W.D. Kingery, H.K. Bowen, D.R. Uhlmann – </t>
    </r>
    <r>
      <rPr>
        <i/>
        <sz val="10"/>
        <rFont val="Arial"/>
        <family val="2"/>
        <charset val="238"/>
      </rPr>
      <t>Introduction to Ceramics</t>
    </r>
    <r>
      <rPr>
        <sz val="11"/>
        <color theme="1"/>
        <rFont val="Aptos Narrow"/>
        <family val="2"/>
        <charset val="238"/>
        <scheme val="minor"/>
      </rPr>
      <t>, 2nd Ed., Wiley, 1976.</t>
    </r>
  </si>
  <si>
    <t>d spieczonego Al2O3 według producenta</t>
  </si>
  <si>
    <t>seria</t>
  </si>
  <si>
    <t>promień [mm]</t>
  </si>
  <si>
    <t>objętość kulki [cm^3]</t>
  </si>
  <si>
    <t>Porowtość całkowita [%]</t>
  </si>
  <si>
    <t>(Pf) Siła nacisku[N]</t>
  </si>
  <si>
    <t>Wyt. Na ściskanie</t>
  </si>
  <si>
    <t>Siła nacisku[N]</t>
  </si>
  <si>
    <t>N</t>
  </si>
  <si>
    <t>złe pekniecie</t>
  </si>
  <si>
    <t>średnie</t>
  </si>
  <si>
    <t>złe pekniecie, na samym początku</t>
  </si>
  <si>
    <t>Pra</t>
  </si>
  <si>
    <t>Próbka 20</t>
  </si>
  <si>
    <t>Próbka 15</t>
  </si>
  <si>
    <t>Próbka 11</t>
  </si>
  <si>
    <t>próbka 16</t>
  </si>
  <si>
    <t>14 (1440)</t>
  </si>
  <si>
    <t>14 (1540)</t>
  </si>
  <si>
    <t>16 (1440)</t>
  </si>
  <si>
    <t>16(1540)</t>
  </si>
  <si>
    <t>14(1340)</t>
  </si>
  <si>
    <t>16 (1340)</t>
  </si>
  <si>
    <t>Nazwa</t>
  </si>
  <si>
    <t>Siła nacisku [N]</t>
  </si>
  <si>
    <t xml:space="preserve">ZŁE </t>
  </si>
  <si>
    <t>16)</t>
  </si>
  <si>
    <t>Item</t>
  </si>
  <si>
    <t>Source</t>
  </si>
  <si>
    <t>Radius</t>
  </si>
  <si>
    <t>Diameter</t>
  </si>
  <si>
    <t>ND.T</t>
  </si>
  <si>
    <t>ND.Z</t>
  </si>
  <si>
    <t>ND.M</t>
  </si>
  <si>
    <t>Comment</t>
  </si>
  <si>
    <t>1.</t>
  </si>
  <si>
    <t>C:\Users\Nikon\Desktop\KK\kulki spieczone\20260113_154520.jpg</t>
  </si>
  <si>
    <t>N/A</t>
  </si>
  <si>
    <t>2.</t>
  </si>
  <si>
    <t>3.</t>
  </si>
  <si>
    <t>4.</t>
  </si>
  <si>
    <t>5.</t>
  </si>
  <si>
    <t>6.</t>
  </si>
  <si>
    <t>7.</t>
  </si>
  <si>
    <t>8.</t>
  </si>
  <si>
    <t>Feature</t>
  </si>
  <si>
    <t>Mean</t>
  </si>
  <si>
    <t>St.Dev</t>
  </si>
  <si>
    <t>Minimum</t>
  </si>
  <si>
    <t>Maximum</t>
  </si>
  <si>
    <t>14)</t>
  </si>
  <si>
    <t>C:\Users\Nikon\Desktop\KK\kulki spieczone\20260113_154611.jpg</t>
  </si>
  <si>
    <t>C:\Users\Nikon\Desktop\KK\kulki spieczone\20260113_154600.jpg</t>
  </si>
  <si>
    <t>C:\Users\Nikon\Desktop\KK\kulki spieczone\20260113_155253.jpg</t>
  </si>
  <si>
    <t>C:\Users\Nikon\Desktop\KK\kulki spieczone\20260128_160950.jpg</t>
  </si>
  <si>
    <t>C:\Users\Nikon\Desktop\KK\kulki spieczone\20260128_161004.jpg</t>
  </si>
  <si>
    <t>to do</t>
  </si>
  <si>
    <t>Zadania</t>
  </si>
  <si>
    <t>Kulki największe</t>
  </si>
  <si>
    <t>Tworzenie mas i badanie lepkości + sprawdzanie jakie powstają kulki</t>
  </si>
  <si>
    <t>Gestosc spieczonych kulejk z każdj seri</t>
  </si>
  <si>
    <t>Robienie kształtek, spiekanie</t>
  </si>
  <si>
    <t>porowatość całkowita</t>
  </si>
  <si>
    <t>Wytrzymałosc na ściskanie</t>
  </si>
  <si>
    <t>Pomiar wytrzymałości kształtek</t>
  </si>
  <si>
    <t>Wyszliwować kuleczki</t>
  </si>
  <si>
    <t>pomiar Gęstości metodą archimedesa na mokro</t>
  </si>
  <si>
    <t>SEM</t>
  </si>
  <si>
    <t>Pomiar Gęstości Piknometryczny</t>
  </si>
  <si>
    <t xml:space="preserve">W zależności co wyjdzie </t>
  </si>
  <si>
    <t>termowaga do temp spiekania</t>
  </si>
  <si>
    <t>pomiar powierzchni własciwej</t>
  </si>
  <si>
    <t>potencjał dzeta</t>
  </si>
  <si>
    <t>pomiar porozymetri rtęciowej</t>
  </si>
  <si>
    <t>Tomografia komputerowa</t>
  </si>
  <si>
    <t>parametry materiału od spiekania, względem porowatości</t>
  </si>
  <si>
    <t>zostawic surowe kulki niespieczone, do alalizy termicznej, przed swiętami!!!</t>
  </si>
  <si>
    <t xml:space="preserve">asap </t>
  </si>
  <si>
    <t>porozymetria</t>
  </si>
  <si>
    <t>y (s-1)</t>
  </si>
  <si>
    <t>n(pa*s)</t>
  </si>
  <si>
    <t>0.01032</t>
  </si>
  <si>
    <t>77.59</t>
  </si>
  <si>
    <t>9.837E-005</t>
  </si>
  <si>
    <t>366.8</t>
  </si>
  <si>
    <t>1.772E-005</t>
  </si>
  <si>
    <t>1.728E+003</t>
  </si>
  <si>
    <t>1.508E-004</t>
  </si>
  <si>
    <t>3.676E+003</t>
  </si>
  <si>
    <t>9.370E-003</t>
  </si>
  <si>
    <t>281.9</t>
  </si>
  <si>
    <t>0.03469</t>
  </si>
  <si>
    <t>115.7</t>
  </si>
  <si>
    <t>6.020E-003</t>
  </si>
  <si>
    <t>464.2</t>
  </si>
  <si>
    <t>0.02404</t>
  </si>
  <si>
    <t>131.9</t>
  </si>
  <si>
    <t>0.01917</t>
  </si>
  <si>
    <t>185.0</t>
  </si>
  <si>
    <t>0.02562</t>
  </si>
  <si>
    <t>129.3</t>
  </si>
  <si>
    <t>0.02237</t>
  </si>
  <si>
    <t>163.7</t>
  </si>
  <si>
    <t>0.02892</t>
  </si>
  <si>
    <t>119.9</t>
  </si>
  <si>
    <t>0.02929</t>
  </si>
  <si>
    <t>120.9</t>
  </si>
  <si>
    <t>0.03260</t>
  </si>
  <si>
    <t>110.7</t>
  </si>
  <si>
    <t>0.03640</t>
  </si>
  <si>
    <t>96.31</t>
  </si>
  <si>
    <t>0.03913</t>
  </si>
  <si>
    <t>89.38</t>
  </si>
  <si>
    <t>0.04308</t>
  </si>
  <si>
    <t>82.32</t>
  </si>
  <si>
    <t>0.04751</t>
  </si>
  <si>
    <t>75.08</t>
  </si>
  <si>
    <t>0.05186</t>
  </si>
  <si>
    <t>69.26</t>
  </si>
  <si>
    <t>0.05682</t>
  </si>
  <si>
    <t>64.14</t>
  </si>
  <si>
    <t>0.06236</t>
  </si>
  <si>
    <t>59.42</t>
  </si>
  <si>
    <t>0.06832</t>
  </si>
  <si>
    <t>55.36</t>
  </si>
  <si>
    <t>0.07492</t>
  </si>
  <si>
    <t>51.77</t>
  </si>
  <si>
    <t>0.08209</t>
  </si>
  <si>
    <t>48.57</t>
  </si>
  <si>
    <t>0.08994</t>
  </si>
  <si>
    <t>45.74</t>
  </si>
  <si>
    <t>0.09857</t>
  </si>
  <si>
    <t>43.18</t>
  </si>
  <si>
    <t>0.1081</t>
  </si>
  <si>
    <t>40.81</t>
  </si>
  <si>
    <t>0.1184</t>
  </si>
  <si>
    <t>38.72</t>
  </si>
  <si>
    <t>0.1298</t>
  </si>
  <si>
    <t>36.97</t>
  </si>
  <si>
    <t>0.1423</t>
  </si>
  <si>
    <t>35.46</t>
  </si>
  <si>
    <t>0.1561</t>
  </si>
  <si>
    <t>33.90</t>
  </si>
  <si>
    <t>0.1710</t>
  </si>
  <si>
    <t>32.20</t>
  </si>
  <si>
    <t>0.1873</t>
  </si>
  <si>
    <t>30.49</t>
  </si>
  <si>
    <t>0.2053</t>
  </si>
  <si>
    <t>0.2250</t>
  </si>
  <si>
    <t>27.76</t>
  </si>
  <si>
    <t>0.2467</t>
  </si>
  <si>
    <t>26.62</t>
  </si>
  <si>
    <t>0.2704</t>
  </si>
  <si>
    <t>25.53</t>
  </si>
  <si>
    <t>0.2962</t>
  </si>
  <si>
    <t>24.50</t>
  </si>
  <si>
    <t>0.3247</t>
  </si>
  <si>
    <t>23.62</t>
  </si>
  <si>
    <t>0.3563</t>
  </si>
  <si>
    <t>22.70</t>
  </si>
  <si>
    <t>0.3905</t>
  </si>
  <si>
    <t>0.4283</t>
  </si>
  <si>
    <t>21.18</t>
  </si>
  <si>
    <t>0.4685</t>
  </si>
  <si>
    <t>20.27</t>
  </si>
  <si>
    <t>0.5136</t>
  </si>
  <si>
    <t>19.66</t>
  </si>
  <si>
    <t>0.5639</t>
  </si>
  <si>
    <t>19.16</t>
  </si>
  <si>
    <t>0.6181</t>
  </si>
  <si>
    <t>18.82</t>
  </si>
  <si>
    <t>0.6774</t>
  </si>
  <si>
    <t>18.66</t>
  </si>
  <si>
    <t>0.7426</t>
  </si>
  <si>
    <t>18.60</t>
  </si>
  <si>
    <t>0.8138</t>
  </si>
  <si>
    <t>18.59</t>
  </si>
  <si>
    <t>0.8921</t>
  </si>
  <si>
    <t>18.64</t>
  </si>
  <si>
    <t>0.9784</t>
  </si>
  <si>
    <t>18.68</t>
  </si>
  <si>
    <t>1.073</t>
  </si>
  <si>
    <t>18.75</t>
  </si>
  <si>
    <t>1.176</t>
  </si>
  <si>
    <t>18.86</t>
  </si>
  <si>
    <t>1.289</t>
  </si>
  <si>
    <t>18.96</t>
  </si>
  <si>
    <t>1.413</t>
  </si>
  <si>
    <t>1.550</t>
  </si>
  <si>
    <t>19.20</t>
  </si>
  <si>
    <t>1.699</t>
  </si>
  <si>
    <t>19.15</t>
  </si>
  <si>
    <t>1.862</t>
  </si>
  <si>
    <t>2.041</t>
  </si>
  <si>
    <t>18.36</t>
  </si>
  <si>
    <t>2.238</t>
  </si>
  <si>
    <t>17.75</t>
  </si>
  <si>
    <t>2.453</t>
  </si>
  <si>
    <t>2.689</t>
  </si>
  <si>
    <t>16.48</t>
  </si>
  <si>
    <t>2.947</t>
  </si>
  <si>
    <t>15.82</t>
  </si>
  <si>
    <t>3.231</t>
  </si>
  <si>
    <t>3.542</t>
  </si>
  <si>
    <t>14.31</t>
  </si>
  <si>
    <t>3.882</t>
  </si>
  <si>
    <t>13.46</t>
  </si>
  <si>
    <t>4.255</t>
  </si>
  <si>
    <t>4.664</t>
  </si>
  <si>
    <t>5.112</t>
  </si>
  <si>
    <t>5.602</t>
  </si>
  <si>
    <t>9.993</t>
  </si>
  <si>
    <t>6.140</t>
  </si>
  <si>
    <t>9.217</t>
  </si>
  <si>
    <t>6.730</t>
  </si>
  <si>
    <t>8.481</t>
  </si>
  <si>
    <t>7.378</t>
  </si>
  <si>
    <t>7.814</t>
  </si>
  <si>
    <t>8.088</t>
  </si>
  <si>
    <t>7.208</t>
  </si>
  <si>
    <t>8.864</t>
  </si>
  <si>
    <t>6.653</t>
  </si>
  <si>
    <t>9.715</t>
  </si>
  <si>
    <t>6.149</t>
  </si>
  <si>
    <t>5.681</t>
  </si>
  <si>
    <t>5.250</t>
  </si>
  <si>
    <t>4.848</t>
  </si>
  <si>
    <t>4.479</t>
  </si>
  <si>
    <t>15.37</t>
  </si>
  <si>
    <t>4.141</t>
  </si>
  <si>
    <t>16.84</t>
  </si>
  <si>
    <t>3.829</t>
  </si>
  <si>
    <t>18.46</t>
  </si>
  <si>
    <t>3.543</t>
  </si>
  <si>
    <t>20.23</t>
  </si>
  <si>
    <t>3.281</t>
  </si>
  <si>
    <t>22.18</t>
  </si>
  <si>
    <t>3.039</t>
  </si>
  <si>
    <t>24.31</t>
  </si>
  <si>
    <t>2.812</t>
  </si>
  <si>
    <t>26.64</t>
  </si>
  <si>
    <t>2.601</t>
  </si>
  <si>
    <t>29.20</t>
  </si>
  <si>
    <t>2.410</t>
  </si>
  <si>
    <t>32.00</t>
  </si>
  <si>
    <t>2.235</t>
  </si>
  <si>
    <t>35.08</t>
  </si>
  <si>
    <t>2.074</t>
  </si>
  <si>
    <t>38.44</t>
  </si>
  <si>
    <t>1.926</t>
  </si>
  <si>
    <t>42.14</t>
  </si>
  <si>
    <t>1.788</t>
  </si>
  <si>
    <t>46.18</t>
  </si>
  <si>
    <t>1.660</t>
  </si>
  <si>
    <t>50.62</t>
  </si>
  <si>
    <t>1.546</t>
  </si>
  <si>
    <t>55.48</t>
  </si>
  <si>
    <t>1.441</t>
  </si>
  <si>
    <t>60.81</t>
  </si>
  <si>
    <t>1.344</t>
  </si>
  <si>
    <t>66.65</t>
  </si>
  <si>
    <t>1.253</t>
  </si>
  <si>
    <t>73.05</t>
  </si>
  <si>
    <t>1.168</t>
  </si>
  <si>
    <t>80.06</t>
  </si>
  <si>
    <t>1.091</t>
  </si>
  <si>
    <t>87.75</t>
  </si>
  <si>
    <t>1.019</t>
  </si>
  <si>
    <t>96.18</t>
  </si>
  <si>
    <t>0.9523</t>
  </si>
  <si>
    <t>105.4</t>
  </si>
  <si>
    <t>0.8904</t>
  </si>
  <si>
    <t>115.5</t>
  </si>
  <si>
    <t>0.8326</t>
  </si>
  <si>
    <t>126.6</t>
  </si>
  <si>
    <t>0.7787</t>
  </si>
  <si>
    <t>138.8</t>
  </si>
  <si>
    <t>0.7285</t>
  </si>
  <si>
    <t>152.1</t>
  </si>
  <si>
    <t>0.6821</t>
  </si>
  <si>
    <t>166.7</t>
  </si>
  <si>
    <t>0.6392</t>
  </si>
  <si>
    <t>182.7</t>
  </si>
  <si>
    <t>0.5995</t>
  </si>
  <si>
    <t>200.3</t>
  </si>
  <si>
    <t>0.5629</t>
  </si>
  <si>
    <t>219.5</t>
  </si>
  <si>
    <t>0.5287</t>
  </si>
  <si>
    <t>240.6</t>
  </si>
  <si>
    <t>0.4968</t>
  </si>
  <si>
    <t>263.7</t>
  </si>
  <si>
    <t>0.4672</t>
  </si>
  <si>
    <t>289.0</t>
  </si>
  <si>
    <t>0.4397</t>
  </si>
  <si>
    <t>316.8</t>
  </si>
  <si>
    <t>0.4142</t>
  </si>
  <si>
    <t>347.2</t>
  </si>
  <si>
    <t>380.6</t>
  </si>
  <si>
    <t>0.3686</t>
  </si>
  <si>
    <t>417.1</t>
  </si>
  <si>
    <t>0.3481</t>
  </si>
  <si>
    <t>457.2</t>
  </si>
  <si>
    <t>0.3292</t>
  </si>
  <si>
    <t>0.01557</t>
  </si>
  <si>
    <t>108.8</t>
  </si>
  <si>
    <t>0.01714</t>
  </si>
  <si>
    <t>128.2</t>
  </si>
  <si>
    <t>5.696E-004</t>
  </si>
  <si>
    <t>1.529E+003</t>
  </si>
  <si>
    <t>1.160E-003</t>
  </si>
  <si>
    <t>865.3</t>
  </si>
  <si>
    <t>0.02550</t>
  </si>
  <si>
    <t>76.15</t>
  </si>
  <si>
    <t>0.01757</t>
  </si>
  <si>
    <t>91.35</t>
  </si>
  <si>
    <t>9.688E-003</t>
  </si>
  <si>
    <t>144.1</t>
  </si>
  <si>
    <t>0.02769</t>
  </si>
  <si>
    <t>63.24</t>
  </si>
  <si>
    <t>0.01330</t>
  </si>
  <si>
    <t>123.3</t>
  </si>
  <si>
    <t>0.02791</t>
  </si>
  <si>
    <t>61.99</t>
  </si>
  <si>
    <t>0.02096</t>
  </si>
  <si>
    <t>82.46</t>
  </si>
  <si>
    <t>0.02983</t>
  </si>
  <si>
    <t>59.24</t>
  </si>
  <si>
    <t>0.02820</t>
  </si>
  <si>
    <t>63.58</t>
  </si>
  <si>
    <t>0.03262</t>
  </si>
  <si>
    <t>58.01</t>
  </si>
  <si>
    <t>0.03708</t>
  </si>
  <si>
    <t>53.07</t>
  </si>
  <si>
    <t>0.03814</t>
  </si>
  <si>
    <t>51.73</t>
  </si>
  <si>
    <t>0.04380</t>
  </si>
  <si>
    <t>45.04</t>
  </si>
  <si>
    <t>0.04672</t>
  </si>
  <si>
    <t>43.26</t>
  </si>
  <si>
    <t>0.05205</t>
  </si>
  <si>
    <t>39.95</t>
  </si>
  <si>
    <t>0.05664</t>
  </si>
  <si>
    <t>37.88</t>
  </si>
  <si>
    <t>0.06231</t>
  </si>
  <si>
    <t>36.34</t>
  </si>
  <si>
    <t>0.06886</t>
  </si>
  <si>
    <t>33.97</t>
  </si>
  <si>
    <t>0.07431</t>
  </si>
  <si>
    <t>31.84</t>
  </si>
  <si>
    <t>0.08184</t>
  </si>
  <si>
    <t>29.96</t>
  </si>
  <si>
    <t>0.08981</t>
  </si>
  <si>
    <t>28.59</t>
  </si>
  <si>
    <t>0.09850</t>
  </si>
  <si>
    <t>27.26</t>
  </si>
  <si>
    <t>0.1080</t>
  </si>
  <si>
    <t>25.79</t>
  </si>
  <si>
    <t>0.1181</t>
  </si>
  <si>
    <t>24.38</t>
  </si>
  <si>
    <t>0.1296</t>
  </si>
  <si>
    <t>0.1420</t>
  </si>
  <si>
    <t>21.97</t>
  </si>
  <si>
    <t>0.1557</t>
  </si>
  <si>
    <t>20.99</t>
  </si>
  <si>
    <t>0.1706</t>
  </si>
  <si>
    <t>0.1871</t>
  </si>
  <si>
    <t>19.29</t>
  </si>
  <si>
    <t>0.2050</t>
  </si>
  <si>
    <t>18.47</t>
  </si>
  <si>
    <t>0.2245</t>
  </si>
  <si>
    <t>17.69</t>
  </si>
  <si>
    <t>0.2461</t>
  </si>
  <si>
    <t>0.2698</t>
  </si>
  <si>
    <t>16.50</t>
  </si>
  <si>
    <t>0.2958</t>
  </si>
  <si>
    <t>0.3241</t>
  </si>
  <si>
    <t>15.60</t>
  </si>
  <si>
    <t>0.3555</t>
  </si>
  <si>
    <t>15.32</t>
  </si>
  <si>
    <t>0.3904</t>
  </si>
  <si>
    <t>15.17</t>
  </si>
  <si>
    <t>0.4277</t>
  </si>
  <si>
    <t>15.20</t>
  </si>
  <si>
    <t>0.4688</t>
  </si>
  <si>
    <t>0.5141</t>
  </si>
  <si>
    <t>15.42</t>
  </si>
  <si>
    <t>0.5631</t>
  </si>
  <si>
    <t>15.39</t>
  </si>
  <si>
    <t>0.6172</t>
  </si>
  <si>
    <t>15.36</t>
  </si>
  <si>
    <t>0.6767</t>
  </si>
  <si>
    <t>15.38</t>
  </si>
  <si>
    <t>0.7424</t>
  </si>
  <si>
    <t>15.27</t>
  </si>
  <si>
    <t>0.8143</t>
  </si>
  <si>
    <t>0.8924</t>
  </si>
  <si>
    <t>14.66</t>
  </si>
  <si>
    <t>0.9780</t>
  </si>
  <si>
    <t>14.21</t>
  </si>
  <si>
    <t>1.072</t>
  </si>
  <si>
    <t>13.78</t>
  </si>
  <si>
    <t>1.175</t>
  </si>
  <si>
    <t>13.37</t>
  </si>
  <si>
    <t>1.288</t>
  </si>
  <si>
    <t>1.411</t>
  </si>
  <si>
    <t>1.547</t>
  </si>
  <si>
    <t>1.696</t>
  </si>
  <si>
    <t>1.861</t>
  </si>
  <si>
    <t>2.039</t>
  </si>
  <si>
    <t>2.450</t>
  </si>
  <si>
    <t>9.649</t>
  </si>
  <si>
    <t>2.685</t>
  </si>
  <si>
    <t>9.056</t>
  </si>
  <si>
    <t>2.943</t>
  </si>
  <si>
    <t>8.456</t>
  </si>
  <si>
    <t>3.226</t>
  </si>
  <si>
    <t>7.865</t>
  </si>
  <si>
    <t>3.535</t>
  </si>
  <si>
    <t>7.300</t>
  </si>
  <si>
    <t>3.875</t>
  </si>
  <si>
    <t>6.772</t>
  </si>
  <si>
    <t>4.247</t>
  </si>
  <si>
    <t>6.267</t>
  </si>
  <si>
    <t>4.655</t>
  </si>
  <si>
    <t>5.776</t>
  </si>
  <si>
    <t>5.102</t>
  </si>
  <si>
    <t>5.319</t>
  </si>
  <si>
    <t>5.592</t>
  </si>
  <si>
    <t>4.907</t>
  </si>
  <si>
    <t>6.129</t>
  </si>
  <si>
    <t>4.521</t>
  </si>
  <si>
    <t>6.717</t>
  </si>
  <si>
    <t>4.158</t>
  </si>
  <si>
    <t>7.362</t>
  </si>
  <si>
    <t>3.830</t>
  </si>
  <si>
    <t>8.069</t>
  </si>
  <si>
    <t>3.524</t>
  </si>
  <si>
    <t>8.844</t>
  </si>
  <si>
    <t>3.245</t>
  </si>
  <si>
    <t>9.694</t>
  </si>
  <si>
    <t>2.989</t>
  </si>
  <si>
    <t>2.753</t>
  </si>
  <si>
    <t>2.539</t>
  </si>
  <si>
    <t>2.341</t>
  </si>
  <si>
    <t>14.00</t>
  </si>
  <si>
    <t>2.158</t>
  </si>
  <si>
    <t>15.35</t>
  </si>
  <si>
    <t>1.991</t>
  </si>
  <si>
    <t>16.82</t>
  </si>
  <si>
    <t>1.838</t>
  </si>
  <si>
    <t>18.43</t>
  </si>
  <si>
    <t>1.697</t>
  </si>
  <si>
    <t>20.20</t>
  </si>
  <si>
    <t>1.568</t>
  </si>
  <si>
    <t>22.15</t>
  </si>
  <si>
    <t>1.449</t>
  </si>
  <si>
    <t>24.27</t>
  </si>
  <si>
    <t>1.339</t>
  </si>
  <si>
    <t>26.60</t>
  </si>
  <si>
    <t>1.239</t>
  </si>
  <si>
    <t>29.16</t>
  </si>
  <si>
    <t>1.147</t>
  </si>
  <si>
    <t>31.96</t>
  </si>
  <si>
    <t>1.061</t>
  </si>
  <si>
    <t>35.03</t>
  </si>
  <si>
    <t>0.9832</t>
  </si>
  <si>
    <t>38.39</t>
  </si>
  <si>
    <t>0.9113</t>
  </si>
  <si>
    <t>42.08</t>
  </si>
  <si>
    <t>0.8449</t>
  </si>
  <si>
    <t>46.12</t>
  </si>
  <si>
    <t>0.7838</t>
  </si>
  <si>
    <t>50.55</t>
  </si>
  <si>
    <t>0.7276</t>
  </si>
  <si>
    <t>55.40</t>
  </si>
  <si>
    <t>0.6756</t>
  </si>
  <si>
    <t>60.72</t>
  </si>
  <si>
    <t>0.6278</t>
  </si>
  <si>
    <t>66.55</t>
  </si>
  <si>
    <t>0.5836</t>
  </si>
  <si>
    <t>72.95</t>
  </si>
  <si>
    <t>0.5425</t>
  </si>
  <si>
    <t>79.95</t>
  </si>
  <si>
    <t>0.5047</t>
  </si>
  <si>
    <t>87.63</t>
  </si>
  <si>
    <t>0.4699</t>
  </si>
  <si>
    <t>96.10</t>
  </si>
  <si>
    <t>0.4376</t>
  </si>
  <si>
    <t>105.3</t>
  </si>
  <si>
    <t>0.4079</t>
  </si>
  <si>
    <t>0.3805</t>
  </si>
  <si>
    <t>126.5</t>
  </si>
  <si>
    <t>0.3550</t>
  </si>
  <si>
    <t>138.7</t>
  </si>
  <si>
    <t>0.3316</t>
  </si>
  <si>
    <t>152.0</t>
  </si>
  <si>
    <t>0.3099</t>
  </si>
  <si>
    <t>166.6</t>
  </si>
  <si>
    <t>0.2899</t>
  </si>
  <si>
    <t>182.6</t>
  </si>
  <si>
    <t>0.2713</t>
  </si>
  <si>
    <t>200.2</t>
  </si>
  <si>
    <t>0.2541</t>
  </si>
  <si>
    <t>219.4</t>
  </si>
  <si>
    <t>0.2383</t>
  </si>
  <si>
    <t>240.5</t>
  </si>
  <si>
    <t>0.2235</t>
  </si>
  <si>
    <t>0.2099</t>
  </si>
  <si>
    <t>0.1974</t>
  </si>
  <si>
    <t>0.1857</t>
  </si>
  <si>
    <t>0.1750</t>
  </si>
  <si>
    <t>0.1651</t>
  </si>
  <si>
    <t>0.1562</t>
  </si>
  <si>
    <t>0.1481</t>
  </si>
  <si>
    <t>0.01483</t>
  </si>
  <si>
    <t>180.4</t>
  </si>
  <si>
    <t>1.480E-004</t>
  </si>
  <si>
    <t>1.451E+003</t>
  </si>
  <si>
    <t>1.003E-004</t>
  </si>
  <si>
    <t>1.521E+004</t>
  </si>
  <si>
    <t>6.331E-006</t>
  </si>
  <si>
    <t>2.442E+005</t>
  </si>
  <si>
    <t>7.776E-005</t>
  </si>
  <si>
    <t>635.1</t>
  </si>
  <si>
    <t>3.795E-003</t>
  </si>
  <si>
    <t>1.065E+003</t>
  </si>
  <si>
    <t>0.03558</t>
  </si>
  <si>
    <t>209.6</t>
  </si>
  <si>
    <t>5.917E-003</t>
  </si>
  <si>
    <t>883.8</t>
  </si>
  <si>
    <t>8.998E-003</t>
  </si>
  <si>
    <t>675.0</t>
  </si>
  <si>
    <t>0.03633</t>
  </si>
  <si>
    <t>216.4</t>
  </si>
  <si>
    <t>0.01284</t>
  </si>
  <si>
    <t>584.3</t>
  </si>
  <si>
    <t>0.03407</t>
  </si>
  <si>
    <t>232.2</t>
  </si>
  <si>
    <t>0.02699</t>
  </si>
  <si>
    <t>307.8</t>
  </si>
  <si>
    <t>0.03298</t>
  </si>
  <si>
    <t>270.3</t>
  </si>
  <si>
    <t>0.03739</t>
  </si>
  <si>
    <t>224.7</t>
  </si>
  <si>
    <t>0.03820</t>
  </si>
  <si>
    <t>232.7</t>
  </si>
  <si>
    <t>0.04369</t>
  </si>
  <si>
    <t>209.7</t>
  </si>
  <si>
    <t>0.04786</t>
  </si>
  <si>
    <t>189.9</t>
  </si>
  <si>
    <t>0.05155</t>
  </si>
  <si>
    <t>179.7</t>
  </si>
  <si>
    <t>0.05687</t>
  </si>
  <si>
    <t>167.2</t>
  </si>
  <si>
    <t>0.06259</t>
  </si>
  <si>
    <t>154.8</t>
  </si>
  <si>
    <t>0.06844</t>
  </si>
  <si>
    <t>144.3</t>
  </si>
  <si>
    <t>0.07488</t>
  </si>
  <si>
    <t>135.1</t>
  </si>
  <si>
    <t>0.08226</t>
  </si>
  <si>
    <t>126.2</t>
  </si>
  <si>
    <t>0.09005</t>
  </si>
  <si>
    <t>118.1</t>
  </si>
  <si>
    <t>0.09877</t>
  </si>
  <si>
    <t>110.8</t>
  </si>
  <si>
    <t>0.1082</t>
  </si>
  <si>
    <t>104.5</t>
  </si>
  <si>
    <t>0.1186</t>
  </si>
  <si>
    <t>98.74</t>
  </si>
  <si>
    <t>0.1300</t>
  </si>
  <si>
    <t>93.39</t>
  </si>
  <si>
    <t>0.1426</t>
  </si>
  <si>
    <t>88.09</t>
  </si>
  <si>
    <t>0.1560</t>
  </si>
  <si>
    <t>83.11</t>
  </si>
  <si>
    <t>78.73</t>
  </si>
  <si>
    <t>0.1875</t>
  </si>
  <si>
    <t>75.21</t>
  </si>
  <si>
    <t>0.2057</t>
  </si>
  <si>
    <t>71.94</t>
  </si>
  <si>
    <t>0.2251</t>
  </si>
  <si>
    <t>68.94</t>
  </si>
  <si>
    <t>0.2470</t>
  </si>
  <si>
    <t>66.15</t>
  </si>
  <si>
    <t>0.2712</t>
  </si>
  <si>
    <t>63.20</t>
  </si>
  <si>
    <t>0.2971</t>
  </si>
  <si>
    <t>60.24</t>
  </si>
  <si>
    <t>0.3257</t>
  </si>
  <si>
    <t>57.63</t>
  </si>
  <si>
    <t>0.3570</t>
  </si>
  <si>
    <t>55.12</t>
  </si>
  <si>
    <t>0.3914</t>
  </si>
  <si>
    <t>52.55</t>
  </si>
  <si>
    <t>0.4287</t>
  </si>
  <si>
    <t>50.34</t>
  </si>
  <si>
    <t>0.4701</t>
  </si>
  <si>
    <t>48.40</t>
  </si>
  <si>
    <t>0.5148</t>
  </si>
  <si>
    <t>46.51</t>
  </si>
  <si>
    <t>0.5646</t>
  </si>
  <si>
    <t>45.54</t>
  </si>
  <si>
    <t>0.6190</t>
  </si>
  <si>
    <t>44.31</t>
  </si>
  <si>
    <t>0.6787</t>
  </si>
  <si>
    <t>42.75</t>
  </si>
  <si>
    <t>0.7441</t>
  </si>
  <si>
    <t>42.22</t>
  </si>
  <si>
    <t>0.8156</t>
  </si>
  <si>
    <t>42.60</t>
  </si>
  <si>
    <t>0.8945</t>
  </si>
  <si>
    <t>43.46</t>
  </si>
  <si>
    <t>0.9805</t>
  </si>
  <si>
    <t>44.37</t>
  </si>
  <si>
    <t>1.075</t>
  </si>
  <si>
    <t>45.41</t>
  </si>
  <si>
    <t>1.179</t>
  </si>
  <si>
    <t>45.66</t>
  </si>
  <si>
    <t>1.292</t>
  </si>
  <si>
    <t>45.28</t>
  </si>
  <si>
    <t>1.416</t>
  </si>
  <si>
    <t>44.85</t>
  </si>
  <si>
    <t>1.552</t>
  </si>
  <si>
    <t>44.03</t>
  </si>
  <si>
    <t>1.701</t>
  </si>
  <si>
    <t>43.13</t>
  </si>
  <si>
    <t>1.865</t>
  </si>
  <si>
    <t>42.42</t>
  </si>
  <si>
    <t>2.044</t>
  </si>
  <si>
    <t>41.67</t>
  </si>
  <si>
    <t>2.240</t>
  </si>
  <si>
    <t>40.40</t>
  </si>
  <si>
    <t>2.455</t>
  </si>
  <si>
    <t>38.69</t>
  </si>
  <si>
    <t>2.691</t>
  </si>
  <si>
    <t>37.26</t>
  </si>
  <si>
    <t>2.949</t>
  </si>
  <si>
    <t>35.89</t>
  </si>
  <si>
    <t>3.233</t>
  </si>
  <si>
    <t>34.40</t>
  </si>
  <si>
    <t>3.884</t>
  </si>
  <si>
    <t>29.92</t>
  </si>
  <si>
    <t>4.256</t>
  </si>
  <si>
    <t>28.29</t>
  </si>
  <si>
    <t>4.665</t>
  </si>
  <si>
    <t>27.00</t>
  </si>
  <si>
    <t>5.113</t>
  </si>
  <si>
    <t>26.18</t>
  </si>
  <si>
    <t>5.604</t>
  </si>
  <si>
    <t>25.30</t>
  </si>
  <si>
    <t>6.142</t>
  </si>
  <si>
    <t>23.84</t>
  </si>
  <si>
    <t>6.732</t>
  </si>
  <si>
    <t>22.16</t>
  </si>
  <si>
    <t>7.379</t>
  </si>
  <si>
    <t>20.77</t>
  </si>
  <si>
    <t>19.61</t>
  </si>
  <si>
    <t>18.00</t>
  </si>
  <si>
    <t>16.58</t>
  </si>
  <si>
    <t>15.46</t>
  </si>
  <si>
    <t>9.561</t>
  </si>
  <si>
    <t>8.908</t>
  </si>
  <si>
    <t>8.294</t>
  </si>
  <si>
    <t>7.719</t>
  </si>
  <si>
    <t>7.185</t>
  </si>
  <si>
    <t>6.694</t>
  </si>
  <si>
    <t>6.237</t>
  </si>
  <si>
    <t>5.813</t>
  </si>
  <si>
    <t>5.419</t>
  </si>
  <si>
    <t>5.053</t>
  </si>
  <si>
    <t>4.713</t>
  </si>
  <si>
    <t>4.397</t>
  </si>
  <si>
    <t>4.103</t>
  </si>
  <si>
    <t>3.576</t>
  </si>
  <si>
    <t>73.04</t>
  </si>
  <si>
    <t>3.338</t>
  </si>
  <si>
    <t>3.117</t>
  </si>
  <si>
    <t>2.911</t>
  </si>
  <si>
    <t>2.718</t>
  </si>
  <si>
    <t>2.371</t>
  </si>
  <si>
    <t>2.214</t>
  </si>
  <si>
    <t>2.068</t>
  </si>
  <si>
    <t>1.932</t>
  </si>
  <si>
    <t>1.803</t>
  </si>
  <si>
    <t>1.681</t>
  </si>
  <si>
    <t>1.565</t>
  </si>
  <si>
    <t>1.455</t>
  </si>
  <si>
    <t>1.347</t>
  </si>
  <si>
    <t>1.133</t>
  </si>
  <si>
    <t>1.040</t>
  </si>
  <si>
    <t>0.9648</t>
  </si>
  <si>
    <t>0.8965</t>
  </si>
  <si>
    <t>0.8219</t>
  </si>
  <si>
    <t>0.7727</t>
  </si>
  <si>
    <t>0.01272</t>
  </si>
  <si>
    <t>17.32</t>
  </si>
  <si>
    <t>6.153E-003</t>
  </si>
  <si>
    <t>561.7</t>
  </si>
  <si>
    <t>0.03857</t>
  </si>
  <si>
    <t>210.6</t>
  </si>
  <si>
    <t>5.745E-003</t>
  </si>
  <si>
    <t>764.8</t>
  </si>
  <si>
    <t>7.067E-005</t>
  </si>
  <si>
    <t>5.025E+003</t>
  </si>
  <si>
    <t>1.213E-005</t>
  </si>
  <si>
    <t>2.195E+004</t>
  </si>
  <si>
    <t>5.728E-005</t>
  </si>
  <si>
    <t>2.798E+004</t>
  </si>
  <si>
    <t>0.01982</t>
  </si>
  <si>
    <t>373.1</t>
  </si>
  <si>
    <t>0.04253</t>
  </si>
  <si>
    <t>188.8</t>
  </si>
  <si>
    <t>3.264E-004</t>
  </si>
  <si>
    <t>5.783E+003</t>
  </si>
  <si>
    <t>3.558E-005</t>
  </si>
  <si>
    <t>483.9</t>
  </si>
  <si>
    <t>2.294E-005</t>
  </si>
  <si>
    <t>2.977E+004</t>
  </si>
  <si>
    <t>0.01417</t>
  </si>
  <si>
    <t>424.8</t>
  </si>
  <si>
    <t>0.05277</t>
  </si>
  <si>
    <t>1.690E-003</t>
  </si>
  <si>
    <t>2.667E+003</t>
  </si>
  <si>
    <t>0.04281</t>
  </si>
  <si>
    <t>181.3</t>
  </si>
  <si>
    <t>0.03608</t>
  </si>
  <si>
    <t>282.7</t>
  </si>
  <si>
    <t>0.05128</t>
  </si>
  <si>
    <t>189.5</t>
  </si>
  <si>
    <t>0.04924</t>
  </si>
  <si>
    <t>212.6</t>
  </si>
  <si>
    <t>0.05665</t>
  </si>
  <si>
    <t>193.4</t>
  </si>
  <si>
    <t>0.06301</t>
  </si>
  <si>
    <t>177.8</t>
  </si>
  <si>
    <t>0.06901</t>
  </si>
  <si>
    <t>165.3</t>
  </si>
  <si>
    <t>0.07541</t>
  </si>
  <si>
    <t>154.2</t>
  </si>
  <si>
    <t>0.08269</t>
  </si>
  <si>
    <t>142.5</t>
  </si>
  <si>
    <t>0.09023</t>
  </si>
  <si>
    <t>134.0</t>
  </si>
  <si>
    <t>0.09928</t>
  </si>
  <si>
    <t>0.1085</t>
  </si>
  <si>
    <t>119.3</t>
  </si>
  <si>
    <t>0.1188</t>
  </si>
  <si>
    <t>112.2</t>
  </si>
  <si>
    <t>0.1301</t>
  </si>
  <si>
    <t>105.7</t>
  </si>
  <si>
    <t>99.26</t>
  </si>
  <si>
    <t>92.78</t>
  </si>
  <si>
    <t>0.1712</t>
  </si>
  <si>
    <t>87.03</t>
  </si>
  <si>
    <t>0.1876</t>
  </si>
  <si>
    <t>82.27</t>
  </si>
  <si>
    <t>0.2058</t>
  </si>
  <si>
    <t>77.67</t>
  </si>
  <si>
    <t>0.2255</t>
  </si>
  <si>
    <t>73.92</t>
  </si>
  <si>
    <t>0.2473</t>
  </si>
  <si>
    <t>70.59</t>
  </si>
  <si>
    <t>0.2709</t>
  </si>
  <si>
    <t>67.28</t>
  </si>
  <si>
    <t>0.2975</t>
  </si>
  <si>
    <t>63.44</t>
  </si>
  <si>
    <t>0.3254</t>
  </si>
  <si>
    <t>58.81</t>
  </si>
  <si>
    <t>0.3567</t>
  </si>
  <si>
    <t>54.81</t>
  </si>
  <si>
    <t>0.3912</t>
  </si>
  <si>
    <t>51.86</t>
  </si>
  <si>
    <t>0.4284</t>
  </si>
  <si>
    <t>49.25</t>
  </si>
  <si>
    <t>47.44</t>
  </si>
  <si>
    <t>0.5153</t>
  </si>
  <si>
    <t>46.49</t>
  </si>
  <si>
    <t>0.5647</t>
  </si>
  <si>
    <t>46.70</t>
  </si>
  <si>
    <t>0.6193</t>
  </si>
  <si>
    <t>47.56</t>
  </si>
  <si>
    <t>0.6789</t>
  </si>
  <si>
    <t>48.23</t>
  </si>
  <si>
    <t>0.7448</t>
  </si>
  <si>
    <t>47.24</t>
  </si>
  <si>
    <t>0.8157</t>
  </si>
  <si>
    <t>44.94</t>
  </si>
  <si>
    <t>0.8943</t>
  </si>
  <si>
    <t>44.43</t>
  </si>
  <si>
    <t>0.9806</t>
  </si>
  <si>
    <t>45.17</t>
  </si>
  <si>
    <t>45.14</t>
  </si>
  <si>
    <t>1.178</t>
  </si>
  <si>
    <t>44.55</t>
  </si>
  <si>
    <t>44.14</t>
  </si>
  <si>
    <t>43.41</t>
  </si>
  <si>
    <t>42.84</t>
  </si>
  <si>
    <t>42.74</t>
  </si>
  <si>
    <t>42.61</t>
  </si>
  <si>
    <t>42.36</t>
  </si>
  <si>
    <t>41.72</t>
  </si>
  <si>
    <t>40.93</t>
  </si>
  <si>
    <t>40.04</t>
  </si>
  <si>
    <t>38.89</t>
  </si>
  <si>
    <t>37.46</t>
  </si>
  <si>
    <t>35.94</t>
  </si>
  <si>
    <t>34.68</t>
  </si>
  <si>
    <t>33.65</t>
  </si>
  <si>
    <t>32.41</t>
  </si>
  <si>
    <t>30.88</t>
  </si>
  <si>
    <t>29.60</t>
  </si>
  <si>
    <t>28.66</t>
  </si>
  <si>
    <t>27.58</t>
  </si>
  <si>
    <t>26.29</t>
  </si>
  <si>
    <t>24.75</t>
  </si>
  <si>
    <t>22.89</t>
  </si>
  <si>
    <t>21.20</t>
  </si>
  <si>
    <t>19.75</t>
  </si>
  <si>
    <t>18.29</t>
  </si>
  <si>
    <t>16.91</t>
  </si>
  <si>
    <t>15.74</t>
  </si>
  <si>
    <t>14.68</t>
  </si>
  <si>
    <t>13.69</t>
  </si>
  <si>
    <t>9.681</t>
  </si>
  <si>
    <t>9.008</t>
  </si>
  <si>
    <t>8.392</t>
  </si>
  <si>
    <t>7.818</t>
  </si>
  <si>
    <t>7.290</t>
  </si>
  <si>
    <t>6.806</t>
  </si>
  <si>
    <t>6.352</t>
  </si>
  <si>
    <t>5.924</t>
  </si>
  <si>
    <t>5.523</t>
  </si>
  <si>
    <t>5.152</t>
  </si>
  <si>
    <t>66.64</t>
  </si>
  <si>
    <t>4.810</t>
  </si>
  <si>
    <t>4.493</t>
  </si>
  <si>
    <t>4.196</t>
  </si>
  <si>
    <t>3.917</t>
  </si>
  <si>
    <t>3.659</t>
  </si>
  <si>
    <t>3.420</t>
  </si>
  <si>
    <t>3.196</t>
  </si>
  <si>
    <t>2.983</t>
  </si>
  <si>
    <t>2.776</t>
  </si>
  <si>
    <t>2.602</t>
  </si>
  <si>
    <t>2.457</t>
  </si>
  <si>
    <t>2.319</t>
  </si>
  <si>
    <t>2.191</t>
  </si>
  <si>
    <t>1.951</t>
  </si>
  <si>
    <t>1.832</t>
  </si>
  <si>
    <t>1.710</t>
  </si>
  <si>
    <t>1.592</t>
  </si>
  <si>
    <t>1.480</t>
  </si>
  <si>
    <t>1.298</t>
  </si>
  <si>
    <t>1.028</t>
  </si>
  <si>
    <t>0.8057</t>
  </si>
  <si>
    <t>8.772E-003</t>
  </si>
  <si>
    <t>1.422E+003</t>
  </si>
  <si>
    <t>2.774E-003</t>
  </si>
  <si>
    <t>4.670E+003</t>
  </si>
  <si>
    <t>0.01469</t>
  </si>
  <si>
    <t>1.175E+003</t>
  </si>
  <si>
    <t>0.01339</t>
  </si>
  <si>
    <t>1.554E+003</t>
  </si>
  <si>
    <t>0.01481</t>
  </si>
  <si>
    <t>1.479E+003</t>
  </si>
  <si>
    <t>0.01582</t>
  </si>
  <si>
    <t>1.439E+003</t>
  </si>
  <si>
    <t>0.01730</t>
  </si>
  <si>
    <t>1.365E+003</t>
  </si>
  <si>
    <t>0.01929</t>
  </si>
  <si>
    <t>1.256E+003</t>
  </si>
  <si>
    <t>0.02065</t>
  </si>
  <si>
    <t>1.216E+003</t>
  </si>
  <si>
    <t>0.02321</t>
  </si>
  <si>
    <t>1.122E+003</t>
  </si>
  <si>
    <t>0.02494</t>
  </si>
  <si>
    <t>1.069E+003</t>
  </si>
  <si>
    <t>0.02732</t>
  </si>
  <si>
    <t>1.001E+003</t>
  </si>
  <si>
    <t>0.03009</t>
  </si>
  <si>
    <t>931.3</t>
  </si>
  <si>
    <t>0.03295</t>
  </si>
  <si>
    <t>871.8</t>
  </si>
  <si>
    <t>0.03610</t>
  </si>
  <si>
    <t>815.4</t>
  </si>
  <si>
    <t>0.03958</t>
  </si>
  <si>
    <t>761.3</t>
  </si>
  <si>
    <t>0.04339</t>
  </si>
  <si>
    <t>708.1</t>
  </si>
  <si>
    <t>0.04755</t>
  </si>
  <si>
    <t>655.7</t>
  </si>
  <si>
    <t>0.05213</t>
  </si>
  <si>
    <t>604.0</t>
  </si>
  <si>
    <t>0.05714</t>
  </si>
  <si>
    <t>553.0</t>
  </si>
  <si>
    <t>502.8</t>
  </si>
  <si>
    <t>0.06857</t>
  </si>
  <si>
    <t>456.5</t>
  </si>
  <si>
    <t>0.07515</t>
  </si>
  <si>
    <t>416.8</t>
  </si>
  <si>
    <t>0.08240</t>
  </si>
  <si>
    <t>382.8</t>
  </si>
  <si>
    <t>0.09032</t>
  </si>
  <si>
    <t>352.5</t>
  </si>
  <si>
    <t>0.09898</t>
  </si>
  <si>
    <t>324.3</t>
  </si>
  <si>
    <t>298.6</t>
  </si>
  <si>
    <t>0.1189</t>
  </si>
  <si>
    <t>276.0</t>
  </si>
  <si>
    <t>0.1303</t>
  </si>
  <si>
    <t>256.2</t>
  </si>
  <si>
    <t>0.1428</t>
  </si>
  <si>
    <t>239.5</t>
  </si>
  <si>
    <t>0.1565</t>
  </si>
  <si>
    <t>225.6</t>
  </si>
  <si>
    <t>0.1715</t>
  </si>
  <si>
    <t>214.7</t>
  </si>
  <si>
    <t>0.1882</t>
  </si>
  <si>
    <t>206.7</t>
  </si>
  <si>
    <t>0.2063</t>
  </si>
  <si>
    <t>199.8</t>
  </si>
  <si>
    <t>0.2261</t>
  </si>
  <si>
    <t>193.3</t>
  </si>
  <si>
    <t>0.2478</t>
  </si>
  <si>
    <t>186.6</t>
  </si>
  <si>
    <t>0.2717</t>
  </si>
  <si>
    <t>179.4</t>
  </si>
  <si>
    <t>0.2978</t>
  </si>
  <si>
    <t>174.7</t>
  </si>
  <si>
    <t>0.3265</t>
  </si>
  <si>
    <t>171.6</t>
  </si>
  <si>
    <t>0.3579</t>
  </si>
  <si>
    <t>166.9</t>
  </si>
  <si>
    <t>0.3923</t>
  </si>
  <si>
    <t>161.2</t>
  </si>
  <si>
    <t>0.4300</t>
  </si>
  <si>
    <t>155.6</t>
  </si>
  <si>
    <t>0.4713</t>
  </si>
  <si>
    <t>150.7</t>
  </si>
  <si>
    <t>0.5165</t>
  </si>
  <si>
    <t>146.1</t>
  </si>
  <si>
    <t>0.5661</t>
  </si>
  <si>
    <t>138.1</t>
  </si>
  <si>
    <t>0.6205</t>
  </si>
  <si>
    <t>128.0</t>
  </si>
  <si>
    <t>0.6801</t>
  </si>
  <si>
    <t>117.5</t>
  </si>
  <si>
    <t>0.7454</t>
  </si>
  <si>
    <t>106.6</t>
  </si>
  <si>
    <t>0.8170</t>
  </si>
  <si>
    <t>98.05</t>
  </si>
  <si>
    <t>0.8954</t>
  </si>
  <si>
    <t>92.31</t>
  </si>
  <si>
    <t>0.9814</t>
  </si>
  <si>
    <t>88.60</t>
  </si>
  <si>
    <t>1.076</t>
  </si>
  <si>
    <t>84.81</t>
  </si>
  <si>
    <t>79.14</t>
  </si>
  <si>
    <t>72.63</t>
  </si>
  <si>
    <t>66.66</t>
  </si>
  <si>
    <t>61.83</t>
  </si>
  <si>
    <t>56.81</t>
  </si>
  <si>
    <t>51.30</t>
  </si>
  <si>
    <t>46.78</t>
  </si>
  <si>
    <t>43.65</t>
  </si>
  <si>
    <t>41.86</t>
  </si>
  <si>
    <t>40.01</t>
  </si>
  <si>
    <t>37.98</t>
  </si>
  <si>
    <t>36.44</t>
  </si>
  <si>
    <t>34.73</t>
  </si>
  <si>
    <t>33.44</t>
  </si>
  <si>
    <t>28.23</t>
  </si>
  <si>
    <t>26.13</t>
  </si>
  <si>
    <t>22.59</t>
  </si>
  <si>
    <t>21.72</t>
  </si>
  <si>
    <t>20.46</t>
  </si>
  <si>
    <t>19.48</t>
  </si>
  <si>
    <t>17.36</t>
  </si>
  <si>
    <t>15.91</t>
  </si>
  <si>
    <t>14.72</t>
  </si>
  <si>
    <t>13.55</t>
  </si>
  <si>
    <t>9.754</t>
  </si>
  <si>
    <t>9.027</t>
  </si>
  <si>
    <t>8.321</t>
  </si>
  <si>
    <t>7.702</t>
  </si>
  <si>
    <t>7.136</t>
  </si>
  <si>
    <t>6.619</t>
  </si>
  <si>
    <t>6.138</t>
  </si>
  <si>
    <t>5.708</t>
  </si>
  <si>
    <t>5.303</t>
  </si>
  <si>
    <t>4.908</t>
  </si>
  <si>
    <t>4.550</t>
  </si>
  <si>
    <t>4.229</t>
  </si>
  <si>
    <t>3.934</t>
  </si>
  <si>
    <t>3.657</t>
  </si>
  <si>
    <t>3.398</t>
  </si>
  <si>
    <t>3.155</t>
  </si>
  <si>
    <t>2.932</t>
  </si>
  <si>
    <t>2.727</t>
  </si>
  <si>
    <t>2.364</t>
  </si>
  <si>
    <t>2.200</t>
  </si>
  <si>
    <t>2.048</t>
  </si>
  <si>
    <t>1.906</t>
  </si>
  <si>
    <t>1.773</t>
  </si>
  <si>
    <t>1.649</t>
  </si>
  <si>
    <t>1.535</t>
  </si>
  <si>
    <t>1.422</t>
  </si>
  <si>
    <t>1.306</t>
  </si>
  <si>
    <t>1.187</t>
  </si>
  <si>
    <t>1.078</t>
  </si>
  <si>
    <t>0.9849</t>
  </si>
  <si>
    <t>0.8805</t>
  </si>
  <si>
    <t>0.8082</t>
  </si>
  <si>
    <t>0.8047</t>
  </si>
  <si>
    <t>0.8045</t>
  </si>
  <si>
    <t>s</t>
  </si>
  <si>
    <t>[m19] y (s-1)</t>
  </si>
  <si>
    <t>[m19] n(pa*s)</t>
  </si>
  <si>
    <t>[m17] y (s-1)</t>
  </si>
  <si>
    <t>[m17] n(pa*s)</t>
  </si>
  <si>
    <t>[m15] y (s-1)</t>
  </si>
  <si>
    <t>[m15] n(pa*s)</t>
  </si>
  <si>
    <t>[m14] y (s-1)</t>
  </si>
  <si>
    <t>[m14] n(pa*s)</t>
  </si>
  <si>
    <t>[m18] n(pa*s)</t>
  </si>
  <si>
    <t>[m18] y (s-1)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</si>
</sst>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0.000"/>
    <numFmt numFmtId="165" formatCode="0.0000"/>
    <numFmt numFmtId="166" formatCode="0.0"/>
  </numFmts>
  <fonts count="17"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Aptos Narrow"/>
      <family val="2"/>
      <charset val="238"/>
      <scheme val="minor"/>
    </font>
    <font>
      <b/>
      <sz val="11"/>
      <color rgb="FF000000"/>
      <name val="Aptos Narrow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i/>
      <sz val="10"/>
      <name val="Arial"/>
      <family val="2"/>
      <charset val="238"/>
    </font>
    <font>
      <sz val="10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sz val="14"/>
      <color theme="1"/>
      <name val="Aptos Narrow"/>
      <family val="2"/>
      <charset val="238"/>
      <scheme val="minor"/>
    </font>
    <font>
      <sz val="14"/>
      <color theme="1"/>
      <name val="Arial"/>
      <family val="2"/>
      <charset val="238"/>
    </font>
    <font>
      <sz val="14"/>
      <name val="Arial"/>
      <family val="2"/>
      <charset val="238"/>
    </font>
    <font>
      <sz val="11"/>
      <color rgb="FFFF0000"/>
      <name val="Aptos Narrow"/>
      <family val="2"/>
      <charset val="238"/>
      <scheme val="minor"/>
    </font>
    <font>
      <b/>
      <sz val="11"/>
      <color rgb="FFFF0000"/>
      <name val="Aptos Narrow"/>
      <family val="2"/>
      <scheme val="minor"/>
    </font>
    <font>
      <b/>
      <sz val="10"/>
      <color rgb="FFFF0000"/>
      <name val="Arial"/>
      <family val="2"/>
      <charset val="238"/>
    </font>
    <font>
      <sz val="10"/>
      <color rgb="FFFF0000"/>
      <name val="Arial"/>
      <family val="2"/>
      <charset val="238"/>
    </font>
  </fonts>
  <fills count="1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0000"/>
        <bgColor indexed="64"/>
      </patternFill>
    </fill>
  </fills>
  <borders count="4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4" fillId="0" borderId="0"/>
    <xf numFmtId="0" fontId="8" fillId="0" borderId="0"/>
  </cellStyleXfs>
  <cellXfs count="220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0" fillId="0" borderId="1" xfId="0" applyBorder="1" applyAlignment="1">
      <alignment wrapText="1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7" fontId="0" fillId="0" borderId="0" xfId="0" applyNumberFormat="1"/>
    <xf numFmtId="0" fontId="1" fillId="0" borderId="2" xfId="0" applyFont="1" applyBorder="1" applyAlignment="1">
      <alignment horizontal="center" vertical="center"/>
    </xf>
    <xf numFmtId="164" fontId="0" fillId="0" borderId="1" xfId="0" applyNumberFormat="1" applyBorder="1"/>
    <xf numFmtId="0" fontId="0" fillId="0" borderId="6" xfId="0" applyBorder="1"/>
    <xf numFmtId="0" fontId="0" fillId="0" borderId="16" xfId="0" applyBorder="1"/>
    <xf numFmtId="0" fontId="0" fillId="0" borderId="17" xfId="0" applyBorder="1"/>
    <xf numFmtId="0" fontId="0" fillId="0" borderId="13" xfId="0" applyBorder="1"/>
    <xf numFmtId="0" fontId="0" fillId="0" borderId="14" xfId="0" applyBorder="1"/>
    <xf numFmtId="0" fontId="0" fillId="0" borderId="12" xfId="0" applyBorder="1"/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3" borderId="1" xfId="0" applyFill="1" applyBorder="1"/>
    <xf numFmtId="0" fontId="0" fillId="3" borderId="1" xfId="0" applyFill="1" applyBorder="1" applyAlignment="1">
      <alignment wrapText="1"/>
    </xf>
    <xf numFmtId="0" fontId="0" fillId="5" borderId="1" xfId="0" applyFill="1" applyBorder="1" applyAlignment="1">
      <alignment wrapText="1"/>
    </xf>
    <xf numFmtId="0" fontId="0" fillId="0" borderId="0" xfId="0" applyAlignment="1">
      <alignment horizontal="center" wrapText="1"/>
    </xf>
    <xf numFmtId="0" fontId="0" fillId="2" borderId="1" xfId="0" applyFill="1" applyBorder="1" applyAlignment="1">
      <alignment horizontal="center"/>
    </xf>
    <xf numFmtId="0" fontId="2" fillId="2" borderId="20" xfId="0" applyFont="1" applyFill="1" applyBorder="1" applyAlignment="1">
      <alignment horizontal="center"/>
    </xf>
    <xf numFmtId="0" fontId="3" fillId="2" borderId="20" xfId="0" applyFont="1" applyFill="1" applyBorder="1" applyAlignment="1">
      <alignment horizontal="center"/>
    </xf>
    <xf numFmtId="0" fontId="0" fillId="6" borderId="1" xfId="0" applyFill="1" applyBorder="1" applyAlignment="1">
      <alignment horizontal="center" vertical="center"/>
    </xf>
    <xf numFmtId="0" fontId="2" fillId="6" borderId="20" xfId="0" applyFont="1" applyFill="1" applyBorder="1" applyAlignment="1">
      <alignment horizontal="center" vertical="center"/>
    </xf>
    <xf numFmtId="0" fontId="4" fillId="0" borderId="0" xfId="1"/>
    <xf numFmtId="166" fontId="4" fillId="0" borderId="1" xfId="1" applyNumberFormat="1" applyBorder="1"/>
    <xf numFmtId="2" fontId="4" fillId="0" borderId="1" xfId="1" applyNumberFormat="1" applyBorder="1"/>
    <xf numFmtId="165" fontId="4" fillId="0" borderId="1" xfId="1" applyNumberFormat="1" applyBorder="1"/>
    <xf numFmtId="0" fontId="4" fillId="0" borderId="1" xfId="1" applyBorder="1"/>
    <xf numFmtId="0" fontId="4" fillId="4" borderId="0" xfId="1" applyFill="1"/>
    <xf numFmtId="0" fontId="4" fillId="4" borderId="0" xfId="1" applyFill="1" applyAlignment="1">
      <alignment horizontal="center"/>
    </xf>
    <xf numFmtId="2" fontId="4" fillId="0" borderId="16" xfId="1" applyNumberFormat="1" applyBorder="1"/>
    <xf numFmtId="166" fontId="4" fillId="0" borderId="16" xfId="1" applyNumberFormat="1" applyBorder="1"/>
    <xf numFmtId="0" fontId="4" fillId="0" borderId="16" xfId="1" applyBorder="1"/>
    <xf numFmtId="0" fontId="4" fillId="0" borderId="18" xfId="1" applyBorder="1"/>
    <xf numFmtId="0" fontId="4" fillId="0" borderId="15" xfId="1" applyBorder="1"/>
    <xf numFmtId="0" fontId="0" fillId="0" borderId="11" xfId="0" applyBorder="1" applyAlignment="1">
      <alignment horizontal="center" vertical="center" wrapText="1"/>
    </xf>
    <xf numFmtId="0" fontId="0" fillId="0" borderId="11" xfId="0" applyBorder="1"/>
    <xf numFmtId="0" fontId="0" fillId="0" borderId="2" xfId="0" applyBorder="1"/>
    <xf numFmtId="0" fontId="0" fillId="0" borderId="22" xfId="0" applyBorder="1"/>
    <xf numFmtId="0" fontId="3" fillId="2" borderId="23" xfId="0" applyFont="1" applyFill="1" applyBorder="1" applyAlignment="1">
      <alignment horizontal="center"/>
    </xf>
    <xf numFmtId="164" fontId="0" fillId="0" borderId="21" xfId="0" applyNumberFormat="1" applyBorder="1"/>
    <xf numFmtId="0" fontId="4" fillId="8" borderId="1" xfId="1" applyFill="1" applyBorder="1"/>
    <xf numFmtId="0" fontId="0" fillId="0" borderId="21" xfId="0" applyBorder="1"/>
    <xf numFmtId="0" fontId="4" fillId="0" borderId="21" xfId="1" applyBorder="1"/>
    <xf numFmtId="165" fontId="4" fillId="0" borderId="16" xfId="1" applyNumberFormat="1" applyBorder="1"/>
    <xf numFmtId="166" fontId="4" fillId="4" borderId="1" xfId="1" applyNumberFormat="1" applyFill="1" applyBorder="1"/>
    <xf numFmtId="0" fontId="5" fillId="9" borderId="1" xfId="1" applyFont="1" applyFill="1" applyBorder="1" applyAlignment="1">
      <alignment horizontal="center" vertical="center"/>
    </xf>
    <xf numFmtId="0" fontId="5" fillId="9" borderId="19" xfId="1" applyFont="1" applyFill="1" applyBorder="1" applyAlignment="1">
      <alignment horizontal="center" vertical="center"/>
    </xf>
    <xf numFmtId="0" fontId="0" fillId="0" borderId="27" xfId="0" applyBorder="1"/>
    <xf numFmtId="0" fontId="0" fillId="0" borderId="28" xfId="0" applyBorder="1"/>
    <xf numFmtId="0" fontId="0" fillId="0" borderId="25" xfId="0" applyBorder="1"/>
    <xf numFmtId="0" fontId="0" fillId="0" borderId="29" xfId="0" applyBorder="1"/>
    <xf numFmtId="0" fontId="0" fillId="0" borderId="30" xfId="0" applyBorder="1"/>
    <xf numFmtId="0" fontId="0" fillId="0" borderId="31" xfId="0" applyBorder="1"/>
    <xf numFmtId="2" fontId="0" fillId="7" borderId="4" xfId="0" applyNumberFormat="1" applyFill="1" applyBorder="1"/>
    <xf numFmtId="2" fontId="0" fillId="7" borderId="1" xfId="0" applyNumberFormat="1" applyFill="1" applyBorder="1"/>
    <xf numFmtId="0" fontId="1" fillId="0" borderId="9" xfId="0" applyFont="1" applyBorder="1" applyAlignment="1">
      <alignment horizontal="center" vertical="center" wrapText="1"/>
    </xf>
    <xf numFmtId="0" fontId="1" fillId="7" borderId="16" xfId="0" applyFont="1" applyFill="1" applyBorder="1" applyAlignment="1">
      <alignment horizontal="center"/>
    </xf>
    <xf numFmtId="0" fontId="2" fillId="7" borderId="24" xfId="0" applyFont="1" applyFill="1" applyBorder="1" applyAlignment="1">
      <alignment horizontal="center"/>
    </xf>
    <xf numFmtId="0" fontId="2" fillId="7" borderId="23" xfId="0" applyFont="1" applyFill="1" applyBorder="1" applyAlignment="1">
      <alignment horizontal="center"/>
    </xf>
    <xf numFmtId="0" fontId="1" fillId="7" borderId="1" xfId="0" applyFont="1" applyFill="1" applyBorder="1" applyAlignment="1">
      <alignment horizontal="center"/>
    </xf>
    <xf numFmtId="0" fontId="2" fillId="7" borderId="1" xfId="0" applyFont="1" applyFill="1" applyBorder="1" applyAlignment="1">
      <alignment horizontal="center"/>
    </xf>
    <xf numFmtId="0" fontId="2" fillId="6" borderId="23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7" borderId="0" xfId="0" applyFill="1"/>
    <xf numFmtId="16" fontId="5" fillId="9" borderId="19" xfId="1" applyNumberFormat="1" applyFont="1" applyFill="1" applyBorder="1" applyAlignment="1">
      <alignment horizontal="center" vertical="center"/>
    </xf>
    <xf numFmtId="0" fontId="5" fillId="0" borderId="0" xfId="1" applyFont="1" applyAlignment="1">
      <alignment horizontal="center" vertical="center"/>
    </xf>
    <xf numFmtId="165" fontId="4" fillId="0" borderId="0" xfId="1" applyNumberFormat="1"/>
    <xf numFmtId="2" fontId="4" fillId="0" borderId="0" xfId="1" applyNumberFormat="1"/>
    <xf numFmtId="166" fontId="4" fillId="0" borderId="0" xfId="1" applyNumberFormat="1"/>
    <xf numFmtId="2" fontId="4" fillId="4" borderId="1" xfId="1" applyNumberFormat="1" applyFill="1" applyBorder="1"/>
    <xf numFmtId="164" fontId="4" fillId="0" borderId="1" xfId="1" applyNumberFormat="1" applyBorder="1"/>
    <xf numFmtId="164" fontId="4" fillId="4" borderId="1" xfId="1" applyNumberFormat="1" applyFill="1" applyBorder="1"/>
    <xf numFmtId="2" fontId="4" fillId="4" borderId="1" xfId="1" applyNumberFormat="1" applyFill="1" applyBorder="1" applyAlignment="1">
      <alignment wrapText="1"/>
    </xf>
    <xf numFmtId="165" fontId="4" fillId="4" borderId="1" xfId="1" applyNumberFormat="1" applyFill="1" applyBorder="1"/>
    <xf numFmtId="0" fontId="8" fillId="0" borderId="0" xfId="2"/>
    <xf numFmtId="0" fontId="9" fillId="0" borderId="0" xfId="2" applyFont="1"/>
    <xf numFmtId="0" fontId="0" fillId="0" borderId="0" xfId="0" applyAlignment="1">
      <alignment horizontal="right"/>
    </xf>
    <xf numFmtId="2" fontId="0" fillId="7" borderId="9" xfId="0" applyNumberFormat="1" applyFill="1" applyBorder="1"/>
    <xf numFmtId="165" fontId="0" fillId="0" borderId="0" xfId="0" applyNumberFormat="1" applyAlignment="1">
      <alignment horizontal="right"/>
    </xf>
    <xf numFmtId="0" fontId="1" fillId="0" borderId="16" xfId="0" applyFont="1" applyBorder="1" applyAlignment="1">
      <alignment horizontal="center" vertical="center" wrapText="1"/>
    </xf>
    <xf numFmtId="0" fontId="1" fillId="0" borderId="26" xfId="0" applyFont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 wrapText="1"/>
    </xf>
    <xf numFmtId="166" fontId="0" fillId="7" borderId="7" xfId="0" applyNumberFormat="1" applyFill="1" applyBorder="1"/>
    <xf numFmtId="166" fontId="4" fillId="7" borderId="10" xfId="1" applyNumberFormat="1" applyFill="1" applyBorder="1"/>
    <xf numFmtId="166" fontId="7" fillId="7" borderId="7" xfId="1" applyNumberFormat="1" applyFont="1" applyFill="1" applyBorder="1"/>
    <xf numFmtId="166" fontId="0" fillId="7" borderId="10" xfId="0" applyNumberFormat="1" applyFill="1" applyBorder="1"/>
    <xf numFmtId="0" fontId="10" fillId="0" borderId="4" xfId="0" applyFont="1" applyBorder="1" applyAlignment="1">
      <alignment horizontal="right"/>
    </xf>
    <xf numFmtId="9" fontId="10" fillId="0" borderId="4" xfId="0" applyNumberFormat="1" applyFont="1" applyBorder="1" applyAlignment="1">
      <alignment horizontal="right"/>
    </xf>
    <xf numFmtId="166" fontId="11" fillId="7" borderId="4" xfId="1" applyNumberFormat="1" applyFont="1" applyFill="1" applyBorder="1"/>
    <xf numFmtId="166" fontId="11" fillId="3" borderId="4" xfId="1" applyNumberFormat="1" applyFont="1" applyFill="1" applyBorder="1"/>
    <xf numFmtId="165" fontId="11" fillId="7" borderId="4" xfId="1" applyNumberFormat="1" applyFont="1" applyFill="1" applyBorder="1"/>
    <xf numFmtId="2" fontId="10" fillId="7" borderId="4" xfId="0" applyNumberFormat="1" applyFont="1" applyFill="1" applyBorder="1"/>
    <xf numFmtId="166" fontId="10" fillId="0" borderId="5" xfId="0" applyNumberFormat="1" applyFont="1" applyBorder="1"/>
    <xf numFmtId="0" fontId="10" fillId="0" borderId="1" xfId="0" applyFont="1" applyBorder="1" applyAlignment="1">
      <alignment horizontal="right"/>
    </xf>
    <xf numFmtId="9" fontId="10" fillId="0" borderId="1" xfId="0" applyNumberFormat="1" applyFont="1" applyBorder="1" applyAlignment="1">
      <alignment horizontal="right"/>
    </xf>
    <xf numFmtId="166" fontId="10" fillId="7" borderId="1" xfId="0" applyNumberFormat="1" applyFont="1" applyFill="1" applyBorder="1"/>
    <xf numFmtId="165" fontId="10" fillId="7" borderId="1" xfId="0" applyNumberFormat="1" applyFont="1" applyFill="1" applyBorder="1"/>
    <xf numFmtId="2" fontId="10" fillId="7" borderId="1" xfId="0" applyNumberFormat="1" applyFont="1" applyFill="1" applyBorder="1"/>
    <xf numFmtId="166" fontId="10" fillId="0" borderId="7" xfId="0" applyNumberFormat="1" applyFont="1" applyBorder="1"/>
    <xf numFmtId="166" fontId="10" fillId="3" borderId="1" xfId="0" applyNumberFormat="1" applyFont="1" applyFill="1" applyBorder="1"/>
    <xf numFmtId="166" fontId="12" fillId="7" borderId="1" xfId="1" applyNumberFormat="1" applyFont="1" applyFill="1" applyBorder="1"/>
    <xf numFmtId="165" fontId="12" fillId="7" borderId="1" xfId="1" applyNumberFormat="1" applyFont="1" applyFill="1" applyBorder="1"/>
    <xf numFmtId="0" fontId="10" fillId="0" borderId="16" xfId="0" applyFont="1" applyBorder="1" applyAlignment="1">
      <alignment horizontal="right"/>
    </xf>
    <xf numFmtId="9" fontId="10" fillId="0" borderId="16" xfId="0" applyNumberFormat="1" applyFont="1" applyBorder="1" applyAlignment="1">
      <alignment horizontal="right"/>
    </xf>
    <xf numFmtId="166" fontId="12" fillId="7" borderId="16" xfId="1" applyNumberFormat="1" applyFont="1" applyFill="1" applyBorder="1"/>
    <xf numFmtId="166" fontId="10" fillId="7" borderId="16" xfId="0" applyNumberFormat="1" applyFont="1" applyFill="1" applyBorder="1"/>
    <xf numFmtId="165" fontId="12" fillId="7" borderId="16" xfId="1" applyNumberFormat="1" applyFont="1" applyFill="1" applyBorder="1"/>
    <xf numFmtId="2" fontId="10" fillId="7" borderId="16" xfId="0" applyNumberFormat="1" applyFont="1" applyFill="1" applyBorder="1"/>
    <xf numFmtId="166" fontId="10" fillId="0" borderId="17" xfId="0" applyNumberFormat="1" applyFont="1" applyBorder="1"/>
    <xf numFmtId="166" fontId="12" fillId="3" borderId="1" xfId="1" applyNumberFormat="1" applyFont="1" applyFill="1" applyBorder="1"/>
    <xf numFmtId="2" fontId="12" fillId="7" borderId="1" xfId="1" applyNumberFormat="1" applyFont="1" applyFill="1" applyBorder="1"/>
    <xf numFmtId="0" fontId="10" fillId="0" borderId="1" xfId="0" applyFont="1" applyBorder="1"/>
    <xf numFmtId="166" fontId="10" fillId="0" borderId="1" xfId="0" applyNumberFormat="1" applyFont="1" applyBorder="1"/>
    <xf numFmtId="0" fontId="10" fillId="0" borderId="7" xfId="0" applyFont="1" applyBorder="1"/>
    <xf numFmtId="165" fontId="10" fillId="0" borderId="1" xfId="0" applyNumberFormat="1" applyFont="1" applyBorder="1"/>
    <xf numFmtId="2" fontId="10" fillId="0" borderId="1" xfId="0" applyNumberFormat="1" applyFont="1" applyBorder="1"/>
    <xf numFmtId="9" fontId="10" fillId="0" borderId="9" xfId="0" applyNumberFormat="1" applyFont="1" applyBorder="1" applyAlignment="1">
      <alignment horizontal="right"/>
    </xf>
    <xf numFmtId="166" fontId="10" fillId="0" borderId="16" xfId="0" applyNumberFormat="1" applyFont="1" applyBorder="1"/>
    <xf numFmtId="165" fontId="10" fillId="0" borderId="16" xfId="0" applyNumberFormat="1" applyFont="1" applyBorder="1"/>
    <xf numFmtId="2" fontId="10" fillId="0" borderId="16" xfId="0" applyNumberFormat="1" applyFont="1" applyBorder="1"/>
    <xf numFmtId="0" fontId="10" fillId="0" borderId="17" xfId="0" applyFont="1" applyBorder="1"/>
    <xf numFmtId="0" fontId="10" fillId="0" borderId="9" xfId="0" applyFont="1" applyBorder="1"/>
    <xf numFmtId="0" fontId="10" fillId="0" borderId="9" xfId="0" applyFont="1" applyBorder="1" applyAlignment="1">
      <alignment horizontal="right"/>
    </xf>
    <xf numFmtId="166" fontId="10" fillId="0" borderId="9" xfId="0" applyNumberFormat="1" applyFont="1" applyBorder="1"/>
    <xf numFmtId="165" fontId="10" fillId="0" borderId="9" xfId="0" applyNumberFormat="1" applyFont="1" applyBorder="1"/>
    <xf numFmtId="2" fontId="10" fillId="0" borderId="9" xfId="0" applyNumberFormat="1" applyFont="1" applyBorder="1"/>
    <xf numFmtId="0" fontId="10" fillId="0" borderId="10" xfId="0" applyFont="1" applyBorder="1"/>
    <xf numFmtId="166" fontId="0" fillId="7" borderId="1" xfId="0" applyNumberFormat="1" applyFill="1" applyBorder="1"/>
    <xf numFmtId="166" fontId="7" fillId="7" borderId="1" xfId="1" applyNumberFormat="1" applyFont="1" applyFill="1" applyBorder="1"/>
    <xf numFmtId="165" fontId="7" fillId="7" borderId="1" xfId="1" applyNumberFormat="1" applyFont="1" applyFill="1" applyBorder="1"/>
    <xf numFmtId="166" fontId="7" fillId="0" borderId="1" xfId="1" applyNumberFormat="1" applyFont="1" applyBorder="1" applyAlignment="1">
      <alignment wrapText="1"/>
    </xf>
    <xf numFmtId="165" fontId="7" fillId="0" borderId="1" xfId="1" applyNumberFormat="1" applyFont="1" applyBorder="1" applyAlignment="1">
      <alignment wrapText="1"/>
    </xf>
    <xf numFmtId="0" fontId="14" fillId="0" borderId="32" xfId="0" applyFont="1" applyBorder="1" applyAlignment="1">
      <alignment horizontal="center" vertical="center"/>
    </xf>
    <xf numFmtId="0" fontId="14" fillId="0" borderId="35" xfId="0" applyFont="1" applyBorder="1" applyAlignment="1">
      <alignment horizontal="center" vertical="center"/>
    </xf>
    <xf numFmtId="0" fontId="14" fillId="0" borderId="26" xfId="0" applyFont="1" applyBorder="1" applyAlignment="1">
      <alignment horizontal="center" vertical="center" wrapText="1"/>
    </xf>
    <xf numFmtId="0" fontId="14" fillId="0" borderId="17" xfId="0" applyFont="1" applyBorder="1" applyAlignment="1">
      <alignment horizontal="center" vertical="center" wrapText="1"/>
    </xf>
    <xf numFmtId="0" fontId="14" fillId="0" borderId="16" xfId="0" applyFont="1" applyBorder="1" applyAlignment="1">
      <alignment horizontal="center" vertical="center" wrapText="1"/>
    </xf>
    <xf numFmtId="166" fontId="16" fillId="0" borderId="3" xfId="1" applyNumberFormat="1" applyFont="1" applyBorder="1"/>
    <xf numFmtId="166" fontId="16" fillId="0" borderId="5" xfId="1" applyNumberFormat="1" applyFont="1" applyBorder="1" applyAlignment="1">
      <alignment wrapText="1"/>
    </xf>
    <xf numFmtId="166" fontId="16" fillId="7" borderId="3" xfId="1" applyNumberFormat="1" applyFont="1" applyFill="1" applyBorder="1"/>
    <xf numFmtId="166" fontId="16" fillId="7" borderId="5" xfId="1" applyNumberFormat="1" applyFont="1" applyFill="1" applyBorder="1"/>
    <xf numFmtId="165" fontId="16" fillId="0" borderId="3" xfId="1" applyNumberFormat="1" applyFont="1" applyBorder="1"/>
    <xf numFmtId="165" fontId="16" fillId="0" borderId="5" xfId="1" applyNumberFormat="1" applyFont="1" applyBorder="1" applyAlignment="1">
      <alignment wrapText="1"/>
    </xf>
    <xf numFmtId="2" fontId="13" fillId="7" borderId="3" xfId="0" applyNumberFormat="1" applyFont="1" applyFill="1" applyBorder="1"/>
    <xf numFmtId="2" fontId="13" fillId="7" borderId="5" xfId="0" applyNumberFormat="1" applyFont="1" applyFill="1" applyBorder="1"/>
    <xf numFmtId="2" fontId="13" fillId="7" borderId="4" xfId="0" applyNumberFormat="1" applyFont="1" applyFill="1" applyBorder="1"/>
    <xf numFmtId="166" fontId="13" fillId="7" borderId="6" xfId="0" applyNumberFormat="1" applyFont="1" applyFill="1" applyBorder="1"/>
    <xf numFmtId="166" fontId="13" fillId="7" borderId="7" xfId="0" applyNumberFormat="1" applyFont="1" applyFill="1" applyBorder="1"/>
    <xf numFmtId="165" fontId="13" fillId="7" borderId="6" xfId="0" applyNumberFormat="1" applyFont="1" applyFill="1" applyBorder="1"/>
    <xf numFmtId="165" fontId="13" fillId="7" borderId="7" xfId="0" applyNumberFormat="1" applyFont="1" applyFill="1" applyBorder="1"/>
    <xf numFmtId="2" fontId="13" fillId="7" borderId="6" xfId="0" applyNumberFormat="1" applyFont="1" applyFill="1" applyBorder="1"/>
    <xf numFmtId="2" fontId="13" fillId="7" borderId="7" xfId="0" applyNumberFormat="1" applyFont="1" applyFill="1" applyBorder="1"/>
    <xf numFmtId="2" fontId="13" fillId="7" borderId="1" xfId="0" applyNumberFormat="1" applyFont="1" applyFill="1" applyBorder="1"/>
    <xf numFmtId="166" fontId="16" fillId="7" borderId="6" xfId="1" applyNumberFormat="1" applyFont="1" applyFill="1" applyBorder="1"/>
    <xf numFmtId="166" fontId="16" fillId="7" borderId="7" xfId="1" applyNumberFormat="1" applyFont="1" applyFill="1" applyBorder="1"/>
    <xf numFmtId="165" fontId="16" fillId="7" borderId="6" xfId="1" applyNumberFormat="1" applyFont="1" applyFill="1" applyBorder="1"/>
    <xf numFmtId="165" fontId="16" fillId="7" borderId="7" xfId="1" applyNumberFormat="1" applyFont="1" applyFill="1" applyBorder="1"/>
    <xf numFmtId="166" fontId="13" fillId="7" borderId="8" xfId="0" applyNumberFormat="1" applyFont="1" applyFill="1" applyBorder="1"/>
    <xf numFmtId="166" fontId="13" fillId="7" borderId="10" xfId="0" applyNumberFormat="1" applyFont="1" applyFill="1" applyBorder="1"/>
    <xf numFmtId="166" fontId="16" fillId="7" borderId="10" xfId="1" applyNumberFormat="1" applyFont="1" applyFill="1" applyBorder="1"/>
    <xf numFmtId="165" fontId="13" fillId="7" borderId="8" xfId="0" applyNumberFormat="1" applyFont="1" applyFill="1" applyBorder="1"/>
    <xf numFmtId="165" fontId="13" fillId="7" borderId="10" xfId="0" applyNumberFormat="1" applyFont="1" applyFill="1" applyBorder="1"/>
    <xf numFmtId="2" fontId="13" fillId="7" borderId="8" xfId="0" applyNumberFormat="1" applyFont="1" applyFill="1" applyBorder="1"/>
    <xf numFmtId="2" fontId="13" fillId="7" borderId="10" xfId="0" applyNumberFormat="1" applyFont="1" applyFill="1" applyBorder="1"/>
    <xf numFmtId="2" fontId="13" fillId="7" borderId="9" xfId="0" applyNumberFormat="1" applyFont="1" applyFill="1" applyBorder="1"/>
    <xf numFmtId="0" fontId="15" fillId="0" borderId="32" xfId="1" applyFont="1" applyBorder="1" applyAlignment="1">
      <alignment horizontal="center" vertical="center"/>
    </xf>
    <xf numFmtId="0" fontId="15" fillId="0" borderId="36" xfId="1" applyFont="1" applyBorder="1" applyAlignment="1">
      <alignment horizontal="center" vertical="center"/>
    </xf>
    <xf numFmtId="0" fontId="15" fillId="0" borderId="33" xfId="1" applyFont="1" applyBorder="1" applyAlignment="1">
      <alignment horizontal="center" vertical="center"/>
    </xf>
    <xf numFmtId="0" fontId="5" fillId="9" borderId="3" xfId="1" applyFont="1" applyFill="1" applyBorder="1" applyAlignment="1">
      <alignment horizontal="center" vertical="center"/>
    </xf>
    <xf numFmtId="166" fontId="7" fillId="7" borderId="4" xfId="1" applyNumberFormat="1" applyFont="1" applyFill="1" applyBorder="1"/>
    <xf numFmtId="166" fontId="4" fillId="7" borderId="4" xfId="1" applyNumberFormat="1" applyFill="1" applyBorder="1"/>
    <xf numFmtId="166" fontId="0" fillId="7" borderId="4" xfId="0" applyNumberFormat="1" applyFill="1" applyBorder="1"/>
    <xf numFmtId="165" fontId="7" fillId="7" borderId="4" xfId="1" applyNumberFormat="1" applyFont="1" applyFill="1" applyBorder="1"/>
    <xf numFmtId="166" fontId="0" fillId="7" borderId="5" xfId="0" applyNumberFormat="1" applyFill="1" applyBorder="1"/>
    <xf numFmtId="0" fontId="5" fillId="9" borderId="6" xfId="1" applyFont="1" applyFill="1" applyBorder="1" applyAlignment="1">
      <alignment horizontal="center" vertical="center"/>
    </xf>
    <xf numFmtId="0" fontId="5" fillId="9" borderId="8" xfId="1" applyFont="1" applyFill="1" applyBorder="1" applyAlignment="1">
      <alignment horizontal="center" vertical="center"/>
    </xf>
    <xf numFmtId="166" fontId="0" fillId="7" borderId="9" xfId="0" applyNumberFormat="1" applyFill="1" applyBorder="1"/>
    <xf numFmtId="165" fontId="0" fillId="7" borderId="9" xfId="0" applyNumberFormat="1" applyFill="1" applyBorder="1"/>
    <xf numFmtId="165" fontId="0" fillId="7" borderId="4" xfId="0" applyNumberFormat="1" applyFill="1" applyBorder="1"/>
    <xf numFmtId="166" fontId="4" fillId="7" borderId="5" xfId="1" applyNumberFormat="1" applyFill="1" applyBorder="1"/>
    <xf numFmtId="166" fontId="4" fillId="7" borderId="9" xfId="1" applyNumberFormat="1" applyFill="1" applyBorder="1"/>
    <xf numFmtId="2" fontId="0" fillId="0" borderId="1" xfId="0" applyNumberFormat="1" applyBorder="1" applyAlignment="1">
      <alignment horizontal="center" vertical="center" wrapText="1"/>
    </xf>
    <xf numFmtId="2" fontId="0" fillId="3" borderId="1" xfId="0" applyNumberFormat="1" applyFill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2" fontId="0" fillId="5" borderId="1" xfId="0" applyNumberFormat="1" applyFill="1" applyBorder="1" applyAlignment="1">
      <alignment horizontal="center" vertical="center"/>
    </xf>
    <xf numFmtId="2" fontId="0" fillId="0" borderId="11" xfId="0" applyNumberFormat="1" applyBorder="1" applyAlignment="1">
      <alignment horizontal="center" vertical="center"/>
    </xf>
    <xf numFmtId="2" fontId="0" fillId="3" borderId="16" xfId="0" applyNumberFormat="1" applyFill="1" applyBorder="1" applyAlignment="1">
      <alignment horizontal="center" vertical="center"/>
    </xf>
    <xf numFmtId="2" fontId="0" fillId="5" borderId="3" xfId="0" applyNumberFormat="1" applyFill="1" applyBorder="1" applyAlignment="1">
      <alignment horizontal="center" vertical="center"/>
    </xf>
    <xf numFmtId="2" fontId="0" fillId="5" borderId="26" xfId="0" applyNumberFormat="1" applyFill="1" applyBorder="1" applyAlignment="1">
      <alignment horizontal="center" vertical="center"/>
    </xf>
    <xf numFmtId="2" fontId="0" fillId="0" borderId="1" xfId="0" applyNumberFormat="1" applyBorder="1" applyAlignment="1">
      <alignment horizontal="center"/>
    </xf>
    <xf numFmtId="2" fontId="0" fillId="5" borderId="4" xfId="0" applyNumberFormat="1" applyFill="1" applyBorder="1" applyAlignment="1">
      <alignment horizontal="center" vertical="center"/>
    </xf>
    <xf numFmtId="2" fontId="0" fillId="5" borderId="16" xfId="0" applyNumberFormat="1" applyFill="1" applyBorder="1" applyAlignment="1">
      <alignment horizontal="center" vertical="center"/>
    </xf>
    <xf numFmtId="2" fontId="0" fillId="0" borderId="0" xfId="0" applyNumberFormat="1"/>
    <xf numFmtId="0" fontId="4" fillId="0" borderId="5" xfId="1" applyBorder="1" applyAlignment="1">
      <alignment horizontal="center" vertical="center" wrapText="1"/>
    </xf>
    <xf numFmtId="0" fontId="4" fillId="0" borderId="10" xfId="1" applyBorder="1" applyAlignment="1">
      <alignment horizontal="center" vertical="center" wrapText="1"/>
    </xf>
    <xf numFmtId="0" fontId="1" fillId="0" borderId="4" xfId="0" applyFont="1" applyBorder="1" applyAlignment="1">
      <alignment horizontal="center"/>
    </xf>
    <xf numFmtId="0" fontId="1" fillId="0" borderId="4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38" xfId="0" applyFont="1" applyBorder="1" applyAlignment="1">
      <alignment horizontal="center" vertical="center"/>
    </xf>
    <xf numFmtId="0" fontId="1" fillId="0" borderId="39" xfId="0" applyFont="1" applyBorder="1" applyAlignment="1">
      <alignment horizontal="center" vertical="center"/>
    </xf>
    <xf numFmtId="0" fontId="1" fillId="0" borderId="32" xfId="0" applyFont="1" applyBorder="1" applyAlignment="1">
      <alignment horizontal="center"/>
    </xf>
    <xf numFmtId="0" fontId="1" fillId="0" borderId="37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34" xfId="0" applyFont="1" applyBorder="1" applyAlignment="1">
      <alignment horizontal="center" wrapText="1"/>
    </xf>
    <xf numFmtId="0" fontId="1" fillId="0" borderId="37" xfId="0" applyFont="1" applyBorder="1" applyAlignment="1">
      <alignment horizontal="center" wrapText="1"/>
    </xf>
    <xf numFmtId="0" fontId="14" fillId="0" borderId="34" xfId="0" applyFont="1" applyBorder="1" applyAlignment="1">
      <alignment horizontal="center" wrapText="1"/>
    </xf>
    <xf numFmtId="0" fontId="14" fillId="0" borderId="37" xfId="0" applyFont="1" applyBorder="1" applyAlignment="1">
      <alignment horizontal="center" wrapText="1"/>
    </xf>
    <xf numFmtId="0" fontId="14" fillId="0" borderId="32" xfId="0" applyFont="1" applyBorder="1" applyAlignment="1">
      <alignment horizontal="center"/>
    </xf>
    <xf numFmtId="0" fontId="14" fillId="0" borderId="37" xfId="0" applyFont="1" applyBorder="1" applyAlignment="1">
      <alignment horizontal="center"/>
    </xf>
    <xf numFmtId="0" fontId="14" fillId="0" borderId="3" xfId="0" applyFont="1" applyBorder="1" applyAlignment="1">
      <alignment horizontal="center"/>
    </xf>
    <xf numFmtId="0" fontId="14" fillId="0" borderId="4" xfId="0" applyFont="1" applyBorder="1" applyAlignment="1">
      <alignment horizontal="center"/>
    </xf>
  </cellXfs>
  <cellStyles count="3">
    <cellStyle name="Normalny" xfId="0" builtinId="0"/>
    <cellStyle name="Normalny 2" xfId="1"/>
    <cellStyle name="Normalny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17</xdr:col>
      <xdr:colOff>454212</xdr:colOff>
      <xdr:row>1</xdr:row>
      <xdr:rowOff>164503</xdr:rowOff>
    </xdr:from>
    <xdr:ext cx="2134928" cy="649791"/>
    <xdr:pic>
      <xdr:nvPicPr>
        <xdr:cNvPr id="2" name="Obraz 1">
          <a:extLst>
            <a:ext uri="{FF2B5EF4-FFF2-40B4-BE49-F238E27FC236}">
              <a16:creationId xmlns:a16="http://schemas.microsoft.com/office/drawing/2014/main" id="{345B9BFE-21FF-404D-8EF0-498A5851BF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553330" y="351268"/>
          <a:ext cx="2134928" cy="649791"/>
        </a:xfrm>
        <a:prstGeom prst="rect">
          <a:avLst/>
        </a:prstGeom>
      </xdr:spPr>
    </xdr:pic>
    <xdr:clientData/>
  </xdr:oneCellAnchor>
  <xdr:twoCellAnchor editAs="oneCell">
    <xdr:from>
      <xdr:col>21</xdr:col>
      <xdr:colOff>206817</xdr:colOff>
      <xdr:row>10</xdr:row>
      <xdr:rowOff>157058</xdr:rowOff>
    </xdr:from>
    <xdr:to>
      <xdr:col>24</xdr:col>
      <xdr:colOff>591336</xdr:colOff>
      <xdr:row>15</xdr:row>
      <xdr:rowOff>134096</xdr:rowOff>
    </xdr:to>
    <xdr:pic>
      <xdr:nvPicPr>
        <xdr:cNvPr id="3" name="Obraz 2">
          <a:extLst>
            <a:ext uri="{FF2B5EF4-FFF2-40B4-BE49-F238E27FC236}">
              <a16:creationId xmlns:a16="http://schemas.microsoft.com/office/drawing/2014/main" id="{49E65B01-8D69-41BA-A34A-0042B41443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637817" y="2024705"/>
          <a:ext cx="4112342" cy="925803"/>
        </a:xfrm>
        <a:prstGeom prst="rect">
          <a:avLst/>
        </a:prstGeom>
      </xdr:spPr>
    </xdr:pic>
    <xdr:clientData/>
  </xdr:twoCellAnchor>
  <xdr:twoCellAnchor editAs="oneCell">
    <xdr:from>
      <xdr:col>21</xdr:col>
      <xdr:colOff>362461</xdr:colOff>
      <xdr:row>1</xdr:row>
      <xdr:rowOff>110417</xdr:rowOff>
    </xdr:from>
    <xdr:to>
      <xdr:col>24</xdr:col>
      <xdr:colOff>951331</xdr:colOff>
      <xdr:row>9</xdr:row>
      <xdr:rowOff>93972</xdr:rowOff>
    </xdr:to>
    <xdr:pic>
      <xdr:nvPicPr>
        <xdr:cNvPr id="4" name="Obraz 3">
          <a:extLst>
            <a:ext uri="{FF2B5EF4-FFF2-40B4-BE49-F238E27FC236}">
              <a16:creationId xmlns:a16="http://schemas.microsoft.com/office/drawing/2014/main" id="{E06FA67B-90F7-45AD-A9C6-8ECFB3CEA0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793461" y="297182"/>
          <a:ext cx="4316693" cy="1490372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id="1" name="__Anonymous_Sheet_DB__0" displayName="__Anonymous_Sheet_DB__0" ref="A76:AMJ85" headerRowCount="0" totalsRowShown="0">
  <sortState ref="A76:AMJ85">
    <sortCondition ref="A76:A85"/>
  </sortState>
  <tableColumns count="1024">
    <tableColumn id="1" name="Kolumna1"/>
    <tableColumn id="2" name="Kolumna2"/>
    <tableColumn id="3" name="Kolumna3"/>
    <tableColumn id="4" name="Kolumna4"/>
    <tableColumn id="5" name="Kolumna5"/>
    <tableColumn id="6" name="Kolumna6"/>
    <tableColumn id="7" name="Kolumna7"/>
    <tableColumn id="8" name="Kolumna8"/>
    <tableColumn id="9" name="Kolumna9"/>
    <tableColumn id="10" name="Kolumna10"/>
    <tableColumn id="11" name="Kolumna11"/>
    <tableColumn id="12" name="Kolumna12"/>
    <tableColumn id="13" name="Kolumna13"/>
    <tableColumn id="14" name="Kolumna14"/>
    <tableColumn id="15" name="Kolumna15"/>
    <tableColumn id="16" name="Kolumna16"/>
    <tableColumn id="17" name="Kolumna17"/>
    <tableColumn id="18" name="Kolumna18"/>
    <tableColumn id="19" name="Kolumna19"/>
    <tableColumn id="20" name="Kolumna20"/>
    <tableColumn id="21" name="Kolumna21"/>
    <tableColumn id="22" name="Kolumna22"/>
    <tableColumn id="23" name="Kolumna23"/>
    <tableColumn id="24" name="Kolumna24"/>
    <tableColumn id="25" name="Kolumna25"/>
    <tableColumn id="26" name="Kolumna26"/>
    <tableColumn id="27" name="Kolumna27"/>
    <tableColumn id="28" name="Kolumna28"/>
    <tableColumn id="29" name="Kolumna29"/>
    <tableColumn id="30" name="Kolumna30"/>
    <tableColumn id="31" name="Kolumna31"/>
    <tableColumn id="32" name="Kolumna32"/>
    <tableColumn id="33" name="Kolumna33"/>
    <tableColumn id="34" name="Kolumna34"/>
    <tableColumn id="35" name="Kolumna35"/>
    <tableColumn id="36" name="Kolumna36"/>
    <tableColumn id="37" name="Kolumna37"/>
    <tableColumn id="38" name="Kolumna38"/>
    <tableColumn id="39" name="Kolumna39"/>
    <tableColumn id="40" name="Kolumna40"/>
    <tableColumn id="41" name="Kolumna41"/>
    <tableColumn id="42" name="Kolumna42"/>
    <tableColumn id="43" name="Kolumna43"/>
    <tableColumn id="44" name="Kolumna44"/>
    <tableColumn id="45" name="Kolumna45"/>
    <tableColumn id="46" name="Kolumna46"/>
    <tableColumn id="47" name="Kolumna47"/>
    <tableColumn id="48" name="Kolumna48"/>
    <tableColumn id="49" name="Kolumna49"/>
    <tableColumn id="50" name="Kolumna50"/>
    <tableColumn id="51" name="Kolumna51"/>
    <tableColumn id="52" name="Kolumna52"/>
    <tableColumn id="53" name="Kolumna53"/>
    <tableColumn id="54" name="Kolumna54"/>
    <tableColumn id="55" name="Kolumna55"/>
    <tableColumn id="56" name="Kolumna56"/>
    <tableColumn id="57" name="Kolumna57"/>
    <tableColumn id="58" name="Kolumna58"/>
    <tableColumn id="59" name="Kolumna59"/>
    <tableColumn id="60" name="Kolumna60"/>
    <tableColumn id="61" name="Kolumna61"/>
    <tableColumn id="62" name="Kolumna62"/>
    <tableColumn id="63" name="Kolumna63"/>
    <tableColumn id="64" name="Kolumna64"/>
    <tableColumn id="65" name="Kolumna65"/>
    <tableColumn id="66" name="Kolumna66"/>
    <tableColumn id="67" name="Kolumna67"/>
    <tableColumn id="68" name="Kolumna68"/>
    <tableColumn id="69" name="Kolumna69"/>
    <tableColumn id="70" name="Kolumna70"/>
    <tableColumn id="71" name="Kolumna71"/>
    <tableColumn id="72" name="Kolumna72"/>
    <tableColumn id="73" name="Kolumna73"/>
    <tableColumn id="74" name="Kolumna74"/>
    <tableColumn id="75" name="Kolumna75"/>
    <tableColumn id="76" name="Kolumna76"/>
    <tableColumn id="77" name="Kolumna77"/>
    <tableColumn id="78" name="Kolumna78"/>
    <tableColumn id="79" name="Kolumna79"/>
    <tableColumn id="80" name="Kolumna80"/>
    <tableColumn id="81" name="Kolumna81"/>
    <tableColumn id="82" name="Kolumna82"/>
    <tableColumn id="83" name="Kolumna83"/>
    <tableColumn id="84" name="Kolumna84"/>
    <tableColumn id="85" name="Kolumna85"/>
    <tableColumn id="86" name="Kolumna86"/>
    <tableColumn id="87" name="Kolumna87"/>
    <tableColumn id="88" name="Kolumna88"/>
    <tableColumn id="89" name="Kolumna89"/>
    <tableColumn id="90" name="Kolumna90"/>
    <tableColumn id="91" name="Kolumna91"/>
    <tableColumn id="92" name="Kolumna92"/>
    <tableColumn id="93" name="Kolumna93"/>
    <tableColumn id="94" name="Kolumna94"/>
    <tableColumn id="95" name="Kolumna95"/>
    <tableColumn id="96" name="Kolumna96"/>
    <tableColumn id="97" name="Kolumna97"/>
    <tableColumn id="98" name="Kolumna98"/>
    <tableColumn id="99" name="Kolumna99"/>
    <tableColumn id="100" name="Kolumna100"/>
    <tableColumn id="101" name="Kolumna101"/>
    <tableColumn id="102" name="Kolumna102"/>
    <tableColumn id="103" name="Kolumna103"/>
    <tableColumn id="104" name="Kolumna104"/>
    <tableColumn id="105" name="Kolumna105"/>
    <tableColumn id="106" name="Kolumna106"/>
    <tableColumn id="107" name="Kolumna107"/>
    <tableColumn id="108" name="Kolumna108"/>
    <tableColumn id="109" name="Kolumna109"/>
    <tableColumn id="110" name="Kolumna110"/>
    <tableColumn id="111" name="Kolumna111"/>
    <tableColumn id="112" name="Kolumna112"/>
    <tableColumn id="113" name="Kolumna113"/>
    <tableColumn id="114" name="Kolumna114"/>
    <tableColumn id="115" name="Kolumna115"/>
    <tableColumn id="116" name="Kolumna116"/>
    <tableColumn id="117" name="Kolumna117"/>
    <tableColumn id="118" name="Kolumna118"/>
    <tableColumn id="119" name="Kolumna119"/>
    <tableColumn id="120" name="Kolumna120"/>
    <tableColumn id="121" name="Kolumna121"/>
    <tableColumn id="122" name="Kolumna122"/>
    <tableColumn id="123" name="Kolumna123"/>
    <tableColumn id="124" name="Kolumna124"/>
    <tableColumn id="125" name="Kolumna125"/>
    <tableColumn id="126" name="Kolumna126"/>
    <tableColumn id="127" name="Kolumna127"/>
    <tableColumn id="128" name="Kolumna128"/>
    <tableColumn id="129" name="Kolumna129"/>
    <tableColumn id="130" name="Kolumna130"/>
    <tableColumn id="131" name="Kolumna131"/>
    <tableColumn id="132" name="Kolumna132"/>
    <tableColumn id="133" name="Kolumna133"/>
    <tableColumn id="134" name="Kolumna134"/>
    <tableColumn id="135" name="Kolumna135"/>
    <tableColumn id="136" name="Kolumna136"/>
    <tableColumn id="137" name="Kolumna137"/>
    <tableColumn id="138" name="Kolumna138"/>
    <tableColumn id="139" name="Kolumna139"/>
    <tableColumn id="140" name="Kolumna140"/>
    <tableColumn id="141" name="Kolumna141"/>
    <tableColumn id="142" name="Kolumna142"/>
    <tableColumn id="143" name="Kolumna143"/>
    <tableColumn id="144" name="Kolumna144"/>
    <tableColumn id="145" name="Kolumna145"/>
    <tableColumn id="146" name="Kolumna146"/>
    <tableColumn id="147" name="Kolumna147"/>
    <tableColumn id="148" name="Kolumna148"/>
    <tableColumn id="149" name="Kolumna149"/>
    <tableColumn id="150" name="Kolumna150"/>
    <tableColumn id="151" name="Kolumna151"/>
    <tableColumn id="152" name="Kolumna152"/>
    <tableColumn id="153" name="Kolumna153"/>
    <tableColumn id="154" name="Kolumna154"/>
    <tableColumn id="155" name="Kolumna155"/>
    <tableColumn id="156" name="Kolumna156"/>
    <tableColumn id="157" name="Kolumna157"/>
    <tableColumn id="158" name="Kolumna158"/>
    <tableColumn id="159" name="Kolumna159"/>
    <tableColumn id="160" name="Kolumna160"/>
    <tableColumn id="161" name="Kolumna161"/>
    <tableColumn id="162" name="Kolumna162"/>
    <tableColumn id="163" name="Kolumna163"/>
    <tableColumn id="164" name="Kolumna164"/>
    <tableColumn id="165" name="Kolumna165"/>
    <tableColumn id="166" name="Kolumna166"/>
    <tableColumn id="167" name="Kolumna167"/>
    <tableColumn id="168" name="Kolumna168"/>
    <tableColumn id="169" name="Kolumna169"/>
    <tableColumn id="170" name="Kolumna170"/>
    <tableColumn id="171" name="Kolumna171"/>
    <tableColumn id="172" name="Kolumna172"/>
    <tableColumn id="173" name="Kolumna173"/>
    <tableColumn id="174" name="Kolumna174"/>
    <tableColumn id="175" name="Kolumna175"/>
    <tableColumn id="176" name="Kolumna176"/>
    <tableColumn id="177" name="Kolumna177"/>
    <tableColumn id="178" name="Kolumna178"/>
    <tableColumn id="179" name="Kolumna179"/>
    <tableColumn id="180" name="Kolumna180"/>
    <tableColumn id="181" name="Kolumna181"/>
    <tableColumn id="182" name="Kolumna182"/>
    <tableColumn id="183" name="Kolumna183"/>
    <tableColumn id="184" name="Kolumna184"/>
    <tableColumn id="185" name="Kolumna185"/>
    <tableColumn id="186" name="Kolumna186"/>
    <tableColumn id="187" name="Kolumna187"/>
    <tableColumn id="188" name="Kolumna188"/>
    <tableColumn id="189" name="Kolumna189"/>
    <tableColumn id="190" name="Kolumna190"/>
    <tableColumn id="191" name="Kolumna191"/>
    <tableColumn id="192" name="Kolumna192"/>
    <tableColumn id="193" name="Kolumna193"/>
    <tableColumn id="194" name="Kolumna194"/>
    <tableColumn id="195" name="Kolumna195"/>
    <tableColumn id="196" name="Kolumna196"/>
    <tableColumn id="197" name="Kolumna197"/>
    <tableColumn id="198" name="Kolumna198"/>
    <tableColumn id="199" name="Kolumna199"/>
    <tableColumn id="200" name="Kolumna200"/>
    <tableColumn id="201" name="Kolumna201"/>
    <tableColumn id="202" name="Kolumna202"/>
    <tableColumn id="203" name="Kolumna203"/>
    <tableColumn id="204" name="Kolumna204"/>
    <tableColumn id="205" name="Kolumna205"/>
    <tableColumn id="206" name="Kolumna206"/>
    <tableColumn id="207" name="Kolumna207"/>
    <tableColumn id="208" name="Kolumna208"/>
    <tableColumn id="209" name="Kolumna209"/>
    <tableColumn id="210" name="Kolumna210"/>
    <tableColumn id="211" name="Kolumna211"/>
    <tableColumn id="212" name="Kolumna212"/>
    <tableColumn id="213" name="Kolumna213"/>
    <tableColumn id="214" name="Kolumna214"/>
    <tableColumn id="215" name="Kolumna215"/>
    <tableColumn id="216" name="Kolumna216"/>
    <tableColumn id="217" name="Kolumna217"/>
    <tableColumn id="218" name="Kolumna218"/>
    <tableColumn id="219" name="Kolumna219"/>
    <tableColumn id="220" name="Kolumna220"/>
    <tableColumn id="221" name="Kolumna221"/>
    <tableColumn id="222" name="Kolumna222"/>
    <tableColumn id="223" name="Kolumna223"/>
    <tableColumn id="224" name="Kolumna224"/>
    <tableColumn id="225" name="Kolumna225"/>
    <tableColumn id="226" name="Kolumna226"/>
    <tableColumn id="227" name="Kolumna227"/>
    <tableColumn id="228" name="Kolumna228"/>
    <tableColumn id="229" name="Kolumna229"/>
    <tableColumn id="230" name="Kolumna230"/>
    <tableColumn id="231" name="Kolumna231"/>
    <tableColumn id="232" name="Kolumna232"/>
    <tableColumn id="233" name="Kolumna233"/>
    <tableColumn id="234" name="Kolumna234"/>
    <tableColumn id="235" name="Kolumna235"/>
    <tableColumn id="236" name="Kolumna236"/>
    <tableColumn id="237" name="Kolumna237"/>
    <tableColumn id="238" name="Kolumna238"/>
    <tableColumn id="239" name="Kolumna239"/>
    <tableColumn id="240" name="Kolumna240"/>
    <tableColumn id="241" name="Kolumna241"/>
    <tableColumn id="242" name="Kolumna242"/>
    <tableColumn id="243" name="Kolumna243"/>
    <tableColumn id="244" name="Kolumna244"/>
    <tableColumn id="245" name="Kolumna245"/>
    <tableColumn id="246" name="Kolumna246"/>
    <tableColumn id="247" name="Kolumna247"/>
    <tableColumn id="248" name="Kolumna248"/>
    <tableColumn id="249" name="Kolumna249"/>
    <tableColumn id="250" name="Kolumna250"/>
    <tableColumn id="251" name="Kolumna251"/>
    <tableColumn id="252" name="Kolumna252"/>
    <tableColumn id="253" name="Kolumna253"/>
    <tableColumn id="254" name="Kolumna254"/>
    <tableColumn id="255" name="Kolumna255"/>
    <tableColumn id="256" name="Kolumna256"/>
    <tableColumn id="257" name="Kolumna257"/>
    <tableColumn id="258" name="Kolumna258"/>
    <tableColumn id="259" name="Kolumna259"/>
    <tableColumn id="260" name="Kolumna260"/>
    <tableColumn id="261" name="Kolumna261"/>
    <tableColumn id="262" name="Kolumna262"/>
    <tableColumn id="263" name="Kolumna263"/>
    <tableColumn id="264" name="Kolumna264"/>
    <tableColumn id="265" name="Kolumna265"/>
    <tableColumn id="266" name="Kolumna266"/>
    <tableColumn id="267" name="Kolumna267"/>
    <tableColumn id="268" name="Kolumna268"/>
    <tableColumn id="269" name="Kolumna269"/>
    <tableColumn id="270" name="Kolumna270"/>
    <tableColumn id="271" name="Kolumna271"/>
    <tableColumn id="272" name="Kolumna272"/>
    <tableColumn id="273" name="Kolumna273"/>
    <tableColumn id="274" name="Kolumna274"/>
    <tableColumn id="275" name="Kolumna275"/>
    <tableColumn id="276" name="Kolumna276"/>
    <tableColumn id="277" name="Kolumna277"/>
    <tableColumn id="278" name="Kolumna278"/>
    <tableColumn id="279" name="Kolumna279"/>
    <tableColumn id="280" name="Kolumna280"/>
    <tableColumn id="281" name="Kolumna281"/>
    <tableColumn id="282" name="Kolumna282"/>
    <tableColumn id="283" name="Kolumna283"/>
    <tableColumn id="284" name="Kolumna284"/>
    <tableColumn id="285" name="Kolumna285"/>
    <tableColumn id="286" name="Kolumna286"/>
    <tableColumn id="287" name="Kolumna287"/>
    <tableColumn id="288" name="Kolumna288"/>
    <tableColumn id="289" name="Kolumna289"/>
    <tableColumn id="290" name="Kolumna290"/>
    <tableColumn id="291" name="Kolumna291"/>
    <tableColumn id="292" name="Kolumna292"/>
    <tableColumn id="293" name="Kolumna293"/>
    <tableColumn id="294" name="Kolumna294"/>
    <tableColumn id="295" name="Kolumna295"/>
    <tableColumn id="296" name="Kolumna296"/>
    <tableColumn id="297" name="Kolumna297"/>
    <tableColumn id="298" name="Kolumna298"/>
    <tableColumn id="299" name="Kolumna299"/>
    <tableColumn id="300" name="Kolumna300"/>
    <tableColumn id="301" name="Kolumna301"/>
    <tableColumn id="302" name="Kolumna302"/>
    <tableColumn id="303" name="Kolumna303"/>
    <tableColumn id="304" name="Kolumna304"/>
    <tableColumn id="305" name="Kolumna305"/>
    <tableColumn id="306" name="Kolumna306"/>
    <tableColumn id="307" name="Kolumna307"/>
    <tableColumn id="308" name="Kolumna308"/>
    <tableColumn id="309" name="Kolumna309"/>
    <tableColumn id="310" name="Kolumna310"/>
    <tableColumn id="311" name="Kolumna311"/>
    <tableColumn id="312" name="Kolumna312"/>
    <tableColumn id="313" name="Kolumna313"/>
    <tableColumn id="314" name="Kolumna314"/>
    <tableColumn id="315" name="Kolumna315"/>
    <tableColumn id="316" name="Kolumna316"/>
    <tableColumn id="317" name="Kolumna317"/>
    <tableColumn id="318" name="Kolumna318"/>
    <tableColumn id="319" name="Kolumna319"/>
    <tableColumn id="320" name="Kolumna320"/>
    <tableColumn id="321" name="Kolumna321"/>
    <tableColumn id="322" name="Kolumna322"/>
    <tableColumn id="323" name="Kolumna323"/>
    <tableColumn id="324" name="Kolumna324"/>
    <tableColumn id="325" name="Kolumna325"/>
    <tableColumn id="326" name="Kolumna326"/>
    <tableColumn id="327" name="Kolumna327"/>
    <tableColumn id="328" name="Kolumna328"/>
    <tableColumn id="329" name="Kolumna329"/>
    <tableColumn id="330" name="Kolumna330"/>
    <tableColumn id="331" name="Kolumna331"/>
    <tableColumn id="332" name="Kolumna332"/>
    <tableColumn id="333" name="Kolumna333"/>
    <tableColumn id="334" name="Kolumna334"/>
    <tableColumn id="335" name="Kolumna335"/>
    <tableColumn id="336" name="Kolumna336"/>
    <tableColumn id="337" name="Kolumna337"/>
    <tableColumn id="338" name="Kolumna338"/>
    <tableColumn id="339" name="Kolumna339"/>
    <tableColumn id="340" name="Kolumna340"/>
    <tableColumn id="341" name="Kolumna341"/>
    <tableColumn id="342" name="Kolumna342"/>
    <tableColumn id="343" name="Kolumna343"/>
    <tableColumn id="344" name="Kolumna344"/>
    <tableColumn id="345" name="Kolumna345"/>
    <tableColumn id="346" name="Kolumna346"/>
    <tableColumn id="347" name="Kolumna347"/>
    <tableColumn id="348" name="Kolumna348"/>
    <tableColumn id="349" name="Kolumna349"/>
    <tableColumn id="350" name="Kolumna350"/>
    <tableColumn id="351" name="Kolumna351"/>
    <tableColumn id="352" name="Kolumna352"/>
    <tableColumn id="353" name="Kolumna353"/>
    <tableColumn id="354" name="Kolumna354"/>
    <tableColumn id="355" name="Kolumna355"/>
    <tableColumn id="356" name="Kolumna356"/>
    <tableColumn id="357" name="Kolumna357"/>
    <tableColumn id="358" name="Kolumna358"/>
    <tableColumn id="359" name="Kolumna359"/>
    <tableColumn id="360" name="Kolumna360"/>
    <tableColumn id="361" name="Kolumna361"/>
    <tableColumn id="362" name="Kolumna362"/>
    <tableColumn id="363" name="Kolumna363"/>
    <tableColumn id="364" name="Kolumna364"/>
    <tableColumn id="365" name="Kolumna365"/>
    <tableColumn id="366" name="Kolumna366"/>
    <tableColumn id="367" name="Kolumna367"/>
    <tableColumn id="368" name="Kolumna368"/>
    <tableColumn id="369" name="Kolumna369"/>
    <tableColumn id="370" name="Kolumna370"/>
    <tableColumn id="371" name="Kolumna371"/>
    <tableColumn id="372" name="Kolumna372"/>
    <tableColumn id="373" name="Kolumna373"/>
    <tableColumn id="374" name="Kolumna374"/>
    <tableColumn id="375" name="Kolumna375"/>
    <tableColumn id="376" name="Kolumna376"/>
    <tableColumn id="377" name="Kolumna377"/>
    <tableColumn id="378" name="Kolumna378"/>
    <tableColumn id="379" name="Kolumna379"/>
    <tableColumn id="380" name="Kolumna380"/>
    <tableColumn id="381" name="Kolumna381"/>
    <tableColumn id="382" name="Kolumna382"/>
    <tableColumn id="383" name="Kolumna383"/>
    <tableColumn id="384" name="Kolumna384"/>
    <tableColumn id="385" name="Kolumna385"/>
    <tableColumn id="386" name="Kolumna386"/>
    <tableColumn id="387" name="Kolumna387"/>
    <tableColumn id="388" name="Kolumna388"/>
    <tableColumn id="389" name="Kolumna389"/>
    <tableColumn id="390" name="Kolumna390"/>
    <tableColumn id="391" name="Kolumna391"/>
    <tableColumn id="392" name="Kolumna392"/>
    <tableColumn id="393" name="Kolumna393"/>
    <tableColumn id="394" name="Kolumna394"/>
    <tableColumn id="395" name="Kolumna395"/>
    <tableColumn id="396" name="Kolumna396"/>
    <tableColumn id="397" name="Kolumna397"/>
    <tableColumn id="398" name="Kolumna398"/>
    <tableColumn id="399" name="Kolumna399"/>
    <tableColumn id="400" name="Kolumna400"/>
    <tableColumn id="401" name="Kolumna401"/>
    <tableColumn id="402" name="Kolumna402"/>
    <tableColumn id="403" name="Kolumna403"/>
    <tableColumn id="404" name="Kolumna404"/>
    <tableColumn id="405" name="Kolumna405"/>
    <tableColumn id="406" name="Kolumna406"/>
    <tableColumn id="407" name="Kolumna407"/>
    <tableColumn id="408" name="Kolumna408"/>
    <tableColumn id="409" name="Kolumna409"/>
    <tableColumn id="410" name="Kolumna410"/>
    <tableColumn id="411" name="Kolumna411"/>
    <tableColumn id="412" name="Kolumna412"/>
    <tableColumn id="413" name="Kolumna413"/>
    <tableColumn id="414" name="Kolumna414"/>
    <tableColumn id="415" name="Kolumna415"/>
    <tableColumn id="416" name="Kolumna416"/>
    <tableColumn id="417" name="Kolumna417"/>
    <tableColumn id="418" name="Kolumna418"/>
    <tableColumn id="419" name="Kolumna419"/>
    <tableColumn id="420" name="Kolumna420"/>
    <tableColumn id="421" name="Kolumna421"/>
    <tableColumn id="422" name="Kolumna422"/>
    <tableColumn id="423" name="Kolumna423"/>
    <tableColumn id="424" name="Kolumna424"/>
    <tableColumn id="425" name="Kolumna425"/>
    <tableColumn id="426" name="Kolumna426"/>
    <tableColumn id="427" name="Kolumna427"/>
    <tableColumn id="428" name="Kolumna428"/>
    <tableColumn id="429" name="Kolumna429"/>
    <tableColumn id="430" name="Kolumna430"/>
    <tableColumn id="431" name="Kolumna431"/>
    <tableColumn id="432" name="Kolumna432"/>
    <tableColumn id="433" name="Kolumna433"/>
    <tableColumn id="434" name="Kolumna434"/>
    <tableColumn id="435" name="Kolumna435"/>
    <tableColumn id="436" name="Kolumna436"/>
    <tableColumn id="437" name="Kolumna437"/>
    <tableColumn id="438" name="Kolumna438"/>
    <tableColumn id="439" name="Kolumna439"/>
    <tableColumn id="440" name="Kolumna440"/>
    <tableColumn id="441" name="Kolumna441"/>
    <tableColumn id="442" name="Kolumna442"/>
    <tableColumn id="443" name="Kolumna443"/>
    <tableColumn id="444" name="Kolumna444"/>
    <tableColumn id="445" name="Kolumna445"/>
    <tableColumn id="446" name="Kolumna446"/>
    <tableColumn id="447" name="Kolumna447"/>
    <tableColumn id="448" name="Kolumna448"/>
    <tableColumn id="449" name="Kolumna449"/>
    <tableColumn id="450" name="Kolumna450"/>
    <tableColumn id="451" name="Kolumna451"/>
    <tableColumn id="452" name="Kolumna452"/>
    <tableColumn id="453" name="Kolumna453"/>
    <tableColumn id="454" name="Kolumna454"/>
    <tableColumn id="455" name="Kolumna455"/>
    <tableColumn id="456" name="Kolumna456"/>
    <tableColumn id="457" name="Kolumna457"/>
    <tableColumn id="458" name="Kolumna458"/>
    <tableColumn id="459" name="Kolumna459"/>
    <tableColumn id="460" name="Kolumna460"/>
    <tableColumn id="461" name="Kolumna461"/>
    <tableColumn id="462" name="Kolumna462"/>
    <tableColumn id="463" name="Kolumna463"/>
    <tableColumn id="464" name="Kolumna464"/>
    <tableColumn id="465" name="Kolumna465"/>
    <tableColumn id="466" name="Kolumna466"/>
    <tableColumn id="467" name="Kolumna467"/>
    <tableColumn id="468" name="Kolumna468"/>
    <tableColumn id="469" name="Kolumna469"/>
    <tableColumn id="470" name="Kolumna470"/>
    <tableColumn id="471" name="Kolumna471"/>
    <tableColumn id="472" name="Kolumna472"/>
    <tableColumn id="473" name="Kolumna473"/>
    <tableColumn id="474" name="Kolumna474"/>
    <tableColumn id="475" name="Kolumna475"/>
    <tableColumn id="476" name="Kolumna476"/>
    <tableColumn id="477" name="Kolumna477"/>
    <tableColumn id="478" name="Kolumna478"/>
    <tableColumn id="479" name="Kolumna479"/>
    <tableColumn id="480" name="Kolumna480"/>
    <tableColumn id="481" name="Kolumna481"/>
    <tableColumn id="482" name="Kolumna482"/>
    <tableColumn id="483" name="Kolumna483"/>
    <tableColumn id="484" name="Kolumna484"/>
    <tableColumn id="485" name="Kolumna485"/>
    <tableColumn id="486" name="Kolumna486"/>
    <tableColumn id="487" name="Kolumna487"/>
    <tableColumn id="488" name="Kolumna488"/>
    <tableColumn id="489" name="Kolumna489"/>
    <tableColumn id="490" name="Kolumna490"/>
    <tableColumn id="491" name="Kolumna491"/>
    <tableColumn id="492" name="Kolumna492"/>
    <tableColumn id="493" name="Kolumna493"/>
    <tableColumn id="494" name="Kolumna494"/>
    <tableColumn id="495" name="Kolumna495"/>
    <tableColumn id="496" name="Kolumna496"/>
    <tableColumn id="497" name="Kolumna497"/>
    <tableColumn id="498" name="Kolumna498"/>
    <tableColumn id="499" name="Kolumna499"/>
    <tableColumn id="500" name="Kolumna500"/>
    <tableColumn id="501" name="Kolumna501"/>
    <tableColumn id="502" name="Kolumna502"/>
    <tableColumn id="503" name="Kolumna503"/>
    <tableColumn id="504" name="Kolumna504"/>
    <tableColumn id="505" name="Kolumna505"/>
    <tableColumn id="506" name="Kolumna506"/>
    <tableColumn id="507" name="Kolumna507"/>
    <tableColumn id="508" name="Kolumna508"/>
    <tableColumn id="509" name="Kolumna509"/>
    <tableColumn id="510" name="Kolumna510"/>
    <tableColumn id="511" name="Kolumna511"/>
    <tableColumn id="512" name="Kolumna512"/>
    <tableColumn id="513" name="Kolumna513"/>
    <tableColumn id="514" name="Kolumna514"/>
    <tableColumn id="515" name="Kolumna515"/>
    <tableColumn id="516" name="Kolumna516"/>
    <tableColumn id="517" name="Kolumna517"/>
    <tableColumn id="518" name="Kolumna518"/>
    <tableColumn id="519" name="Kolumna519"/>
    <tableColumn id="520" name="Kolumna520"/>
    <tableColumn id="521" name="Kolumna521"/>
    <tableColumn id="522" name="Kolumna522"/>
    <tableColumn id="523" name="Kolumna523"/>
    <tableColumn id="524" name="Kolumna524"/>
    <tableColumn id="525" name="Kolumna525"/>
    <tableColumn id="526" name="Kolumna526"/>
    <tableColumn id="527" name="Kolumna527"/>
    <tableColumn id="528" name="Kolumna528"/>
    <tableColumn id="529" name="Kolumna529"/>
    <tableColumn id="530" name="Kolumna530"/>
    <tableColumn id="531" name="Kolumna531"/>
    <tableColumn id="532" name="Kolumna532"/>
    <tableColumn id="533" name="Kolumna533"/>
    <tableColumn id="534" name="Kolumna534"/>
    <tableColumn id="535" name="Kolumna535"/>
    <tableColumn id="536" name="Kolumna536"/>
    <tableColumn id="537" name="Kolumna537"/>
    <tableColumn id="538" name="Kolumna538"/>
    <tableColumn id="539" name="Kolumna539"/>
    <tableColumn id="540" name="Kolumna540"/>
    <tableColumn id="541" name="Kolumna541"/>
    <tableColumn id="542" name="Kolumna542"/>
    <tableColumn id="543" name="Kolumna543"/>
    <tableColumn id="544" name="Kolumna544"/>
    <tableColumn id="545" name="Kolumna545"/>
    <tableColumn id="546" name="Kolumna546"/>
    <tableColumn id="547" name="Kolumna547"/>
    <tableColumn id="548" name="Kolumna548"/>
    <tableColumn id="549" name="Kolumna549"/>
    <tableColumn id="550" name="Kolumna550"/>
    <tableColumn id="551" name="Kolumna551"/>
    <tableColumn id="552" name="Kolumna552"/>
    <tableColumn id="553" name="Kolumna553"/>
    <tableColumn id="554" name="Kolumna554"/>
    <tableColumn id="555" name="Kolumna555"/>
    <tableColumn id="556" name="Kolumna556"/>
    <tableColumn id="557" name="Kolumna557"/>
    <tableColumn id="558" name="Kolumna558"/>
    <tableColumn id="559" name="Kolumna559"/>
    <tableColumn id="560" name="Kolumna560"/>
    <tableColumn id="561" name="Kolumna561"/>
    <tableColumn id="562" name="Kolumna562"/>
    <tableColumn id="563" name="Kolumna563"/>
    <tableColumn id="564" name="Kolumna564"/>
    <tableColumn id="565" name="Kolumna565"/>
    <tableColumn id="566" name="Kolumna566"/>
    <tableColumn id="567" name="Kolumna567"/>
    <tableColumn id="568" name="Kolumna568"/>
    <tableColumn id="569" name="Kolumna569"/>
    <tableColumn id="570" name="Kolumna570"/>
    <tableColumn id="571" name="Kolumna571"/>
    <tableColumn id="572" name="Kolumna572"/>
    <tableColumn id="573" name="Kolumna573"/>
    <tableColumn id="574" name="Kolumna574"/>
    <tableColumn id="575" name="Kolumna575"/>
    <tableColumn id="576" name="Kolumna576"/>
    <tableColumn id="577" name="Kolumna577"/>
    <tableColumn id="578" name="Kolumna578"/>
    <tableColumn id="579" name="Kolumna579"/>
    <tableColumn id="580" name="Kolumna580"/>
    <tableColumn id="581" name="Kolumna581"/>
    <tableColumn id="582" name="Kolumna582"/>
    <tableColumn id="583" name="Kolumna583"/>
    <tableColumn id="584" name="Kolumna584"/>
    <tableColumn id="585" name="Kolumna585"/>
    <tableColumn id="586" name="Kolumna586"/>
    <tableColumn id="587" name="Kolumna587"/>
    <tableColumn id="588" name="Kolumna588"/>
    <tableColumn id="589" name="Kolumna589"/>
    <tableColumn id="590" name="Kolumna590"/>
    <tableColumn id="591" name="Kolumna591"/>
    <tableColumn id="592" name="Kolumna592"/>
    <tableColumn id="593" name="Kolumna593"/>
    <tableColumn id="594" name="Kolumna594"/>
    <tableColumn id="595" name="Kolumna595"/>
    <tableColumn id="596" name="Kolumna596"/>
    <tableColumn id="597" name="Kolumna597"/>
    <tableColumn id="598" name="Kolumna598"/>
    <tableColumn id="599" name="Kolumna599"/>
    <tableColumn id="600" name="Kolumna600"/>
    <tableColumn id="601" name="Kolumna601"/>
    <tableColumn id="602" name="Kolumna602"/>
    <tableColumn id="603" name="Kolumna603"/>
    <tableColumn id="604" name="Kolumna604"/>
    <tableColumn id="605" name="Kolumna605"/>
    <tableColumn id="606" name="Kolumna606"/>
    <tableColumn id="607" name="Kolumna607"/>
    <tableColumn id="608" name="Kolumna608"/>
    <tableColumn id="609" name="Kolumna609"/>
    <tableColumn id="610" name="Kolumna610"/>
    <tableColumn id="611" name="Kolumna611"/>
    <tableColumn id="612" name="Kolumna612"/>
    <tableColumn id="613" name="Kolumna613"/>
    <tableColumn id="614" name="Kolumna614"/>
    <tableColumn id="615" name="Kolumna615"/>
    <tableColumn id="616" name="Kolumna616"/>
    <tableColumn id="617" name="Kolumna617"/>
    <tableColumn id="618" name="Kolumna618"/>
    <tableColumn id="619" name="Kolumna619"/>
    <tableColumn id="620" name="Kolumna620"/>
    <tableColumn id="621" name="Kolumna621"/>
    <tableColumn id="622" name="Kolumna622"/>
    <tableColumn id="623" name="Kolumna623"/>
    <tableColumn id="624" name="Kolumna624"/>
    <tableColumn id="625" name="Kolumna625"/>
    <tableColumn id="626" name="Kolumna626"/>
    <tableColumn id="627" name="Kolumna627"/>
    <tableColumn id="628" name="Kolumna628"/>
    <tableColumn id="629" name="Kolumna629"/>
    <tableColumn id="630" name="Kolumna630"/>
    <tableColumn id="631" name="Kolumna631"/>
    <tableColumn id="632" name="Kolumna632"/>
    <tableColumn id="633" name="Kolumna633"/>
    <tableColumn id="634" name="Kolumna634"/>
    <tableColumn id="635" name="Kolumna635"/>
    <tableColumn id="636" name="Kolumna636"/>
    <tableColumn id="637" name="Kolumna637"/>
    <tableColumn id="638" name="Kolumna638"/>
    <tableColumn id="639" name="Kolumna639"/>
    <tableColumn id="640" name="Kolumna640"/>
    <tableColumn id="641" name="Kolumna641"/>
    <tableColumn id="642" name="Kolumna642"/>
    <tableColumn id="643" name="Kolumna643"/>
    <tableColumn id="644" name="Kolumna644"/>
    <tableColumn id="645" name="Kolumna645"/>
    <tableColumn id="646" name="Kolumna646"/>
    <tableColumn id="647" name="Kolumna647"/>
    <tableColumn id="648" name="Kolumna648"/>
    <tableColumn id="649" name="Kolumna649"/>
    <tableColumn id="650" name="Kolumna650"/>
    <tableColumn id="651" name="Kolumna651"/>
    <tableColumn id="652" name="Kolumna652"/>
    <tableColumn id="653" name="Kolumna653"/>
    <tableColumn id="654" name="Kolumna654"/>
    <tableColumn id="655" name="Kolumna655"/>
    <tableColumn id="656" name="Kolumna656"/>
    <tableColumn id="657" name="Kolumna657"/>
    <tableColumn id="658" name="Kolumna658"/>
    <tableColumn id="659" name="Kolumna659"/>
    <tableColumn id="660" name="Kolumna660"/>
    <tableColumn id="661" name="Kolumna661"/>
    <tableColumn id="662" name="Kolumna662"/>
    <tableColumn id="663" name="Kolumna663"/>
    <tableColumn id="664" name="Kolumna664"/>
    <tableColumn id="665" name="Kolumna665"/>
    <tableColumn id="666" name="Kolumna666"/>
    <tableColumn id="667" name="Kolumna667"/>
    <tableColumn id="668" name="Kolumna668"/>
    <tableColumn id="669" name="Kolumna669"/>
    <tableColumn id="670" name="Kolumna670"/>
    <tableColumn id="671" name="Kolumna671"/>
    <tableColumn id="672" name="Kolumna672"/>
    <tableColumn id="673" name="Kolumna673"/>
    <tableColumn id="674" name="Kolumna674"/>
    <tableColumn id="675" name="Kolumna675"/>
    <tableColumn id="676" name="Kolumna676"/>
    <tableColumn id="677" name="Kolumna677"/>
    <tableColumn id="678" name="Kolumna678"/>
    <tableColumn id="679" name="Kolumna679"/>
    <tableColumn id="680" name="Kolumna680"/>
    <tableColumn id="681" name="Kolumna681"/>
    <tableColumn id="682" name="Kolumna682"/>
    <tableColumn id="683" name="Kolumna683"/>
    <tableColumn id="684" name="Kolumna684"/>
    <tableColumn id="685" name="Kolumna685"/>
    <tableColumn id="686" name="Kolumna686"/>
    <tableColumn id="687" name="Kolumna687"/>
    <tableColumn id="688" name="Kolumna688"/>
    <tableColumn id="689" name="Kolumna689"/>
    <tableColumn id="690" name="Kolumna690"/>
    <tableColumn id="691" name="Kolumna691"/>
    <tableColumn id="692" name="Kolumna692"/>
    <tableColumn id="693" name="Kolumna693"/>
    <tableColumn id="694" name="Kolumna694"/>
    <tableColumn id="695" name="Kolumna695"/>
    <tableColumn id="696" name="Kolumna696"/>
    <tableColumn id="697" name="Kolumna697"/>
    <tableColumn id="698" name="Kolumna698"/>
    <tableColumn id="699" name="Kolumna699"/>
    <tableColumn id="700" name="Kolumna700"/>
    <tableColumn id="701" name="Kolumna701"/>
    <tableColumn id="702" name="Kolumna702"/>
    <tableColumn id="703" name="Kolumna703"/>
    <tableColumn id="704" name="Kolumna704"/>
    <tableColumn id="705" name="Kolumna705"/>
    <tableColumn id="706" name="Kolumna706"/>
    <tableColumn id="707" name="Kolumna707"/>
    <tableColumn id="708" name="Kolumna708"/>
    <tableColumn id="709" name="Kolumna709"/>
    <tableColumn id="710" name="Kolumna710"/>
    <tableColumn id="711" name="Kolumna711"/>
    <tableColumn id="712" name="Kolumna712"/>
    <tableColumn id="713" name="Kolumna713"/>
    <tableColumn id="714" name="Kolumna714"/>
    <tableColumn id="715" name="Kolumna715"/>
    <tableColumn id="716" name="Kolumna716"/>
    <tableColumn id="717" name="Kolumna717"/>
    <tableColumn id="718" name="Kolumna718"/>
    <tableColumn id="719" name="Kolumna719"/>
    <tableColumn id="720" name="Kolumna720"/>
    <tableColumn id="721" name="Kolumna721"/>
    <tableColumn id="722" name="Kolumna722"/>
    <tableColumn id="723" name="Kolumna723"/>
    <tableColumn id="724" name="Kolumna724"/>
    <tableColumn id="725" name="Kolumna725"/>
    <tableColumn id="726" name="Kolumna726"/>
    <tableColumn id="727" name="Kolumna727"/>
    <tableColumn id="728" name="Kolumna728"/>
    <tableColumn id="729" name="Kolumna729"/>
    <tableColumn id="730" name="Kolumna730"/>
    <tableColumn id="731" name="Kolumna731"/>
    <tableColumn id="732" name="Kolumna732"/>
    <tableColumn id="733" name="Kolumna733"/>
    <tableColumn id="734" name="Kolumna734"/>
    <tableColumn id="735" name="Kolumna735"/>
    <tableColumn id="736" name="Kolumna736"/>
    <tableColumn id="737" name="Kolumna737"/>
    <tableColumn id="738" name="Kolumna738"/>
    <tableColumn id="739" name="Kolumna739"/>
    <tableColumn id="740" name="Kolumna740"/>
    <tableColumn id="741" name="Kolumna741"/>
    <tableColumn id="742" name="Kolumna742"/>
    <tableColumn id="743" name="Kolumna743"/>
    <tableColumn id="744" name="Kolumna744"/>
    <tableColumn id="745" name="Kolumna745"/>
    <tableColumn id="746" name="Kolumna746"/>
    <tableColumn id="747" name="Kolumna747"/>
    <tableColumn id="748" name="Kolumna748"/>
    <tableColumn id="749" name="Kolumna749"/>
    <tableColumn id="750" name="Kolumna750"/>
    <tableColumn id="751" name="Kolumna751"/>
    <tableColumn id="752" name="Kolumna752"/>
    <tableColumn id="753" name="Kolumna753"/>
    <tableColumn id="754" name="Kolumna754"/>
    <tableColumn id="755" name="Kolumna755"/>
    <tableColumn id="756" name="Kolumna756"/>
    <tableColumn id="757" name="Kolumna757"/>
    <tableColumn id="758" name="Kolumna758"/>
    <tableColumn id="759" name="Kolumna759"/>
    <tableColumn id="760" name="Kolumna760"/>
    <tableColumn id="761" name="Kolumna761"/>
    <tableColumn id="762" name="Kolumna762"/>
    <tableColumn id="763" name="Kolumna763"/>
    <tableColumn id="764" name="Kolumna764"/>
    <tableColumn id="765" name="Kolumna765"/>
    <tableColumn id="766" name="Kolumna766"/>
    <tableColumn id="767" name="Kolumna767"/>
    <tableColumn id="768" name="Kolumna768"/>
    <tableColumn id="769" name="Kolumna769"/>
    <tableColumn id="770" name="Kolumna770"/>
    <tableColumn id="771" name="Kolumna771"/>
    <tableColumn id="772" name="Kolumna772"/>
    <tableColumn id="773" name="Kolumna773"/>
    <tableColumn id="774" name="Kolumna774"/>
    <tableColumn id="775" name="Kolumna775"/>
    <tableColumn id="776" name="Kolumna776"/>
    <tableColumn id="777" name="Kolumna777"/>
    <tableColumn id="778" name="Kolumna778"/>
    <tableColumn id="779" name="Kolumna779"/>
    <tableColumn id="780" name="Kolumna780"/>
    <tableColumn id="781" name="Kolumna781"/>
    <tableColumn id="782" name="Kolumna782"/>
    <tableColumn id="783" name="Kolumna783"/>
    <tableColumn id="784" name="Kolumna784"/>
    <tableColumn id="785" name="Kolumna785"/>
    <tableColumn id="786" name="Kolumna786"/>
    <tableColumn id="787" name="Kolumna787"/>
    <tableColumn id="788" name="Kolumna788"/>
    <tableColumn id="789" name="Kolumna789"/>
    <tableColumn id="790" name="Kolumna790"/>
    <tableColumn id="791" name="Kolumna791"/>
    <tableColumn id="792" name="Kolumna792"/>
    <tableColumn id="793" name="Kolumna793"/>
    <tableColumn id="794" name="Kolumna794"/>
    <tableColumn id="795" name="Kolumna795"/>
    <tableColumn id="796" name="Kolumna796"/>
    <tableColumn id="797" name="Kolumna797"/>
    <tableColumn id="798" name="Kolumna798"/>
    <tableColumn id="799" name="Kolumna799"/>
    <tableColumn id="800" name="Kolumna800"/>
    <tableColumn id="801" name="Kolumna801"/>
    <tableColumn id="802" name="Kolumna802"/>
    <tableColumn id="803" name="Kolumna803"/>
    <tableColumn id="804" name="Kolumna804"/>
    <tableColumn id="805" name="Kolumna805"/>
    <tableColumn id="806" name="Kolumna806"/>
    <tableColumn id="807" name="Kolumna807"/>
    <tableColumn id="808" name="Kolumna808"/>
    <tableColumn id="809" name="Kolumna809"/>
    <tableColumn id="810" name="Kolumna810"/>
    <tableColumn id="811" name="Kolumna811"/>
    <tableColumn id="812" name="Kolumna812"/>
    <tableColumn id="813" name="Kolumna813"/>
    <tableColumn id="814" name="Kolumna814"/>
    <tableColumn id="815" name="Kolumna815"/>
    <tableColumn id="816" name="Kolumna816"/>
    <tableColumn id="817" name="Kolumna817"/>
    <tableColumn id="818" name="Kolumna818"/>
    <tableColumn id="819" name="Kolumna819"/>
    <tableColumn id="820" name="Kolumna820"/>
    <tableColumn id="821" name="Kolumna821"/>
    <tableColumn id="822" name="Kolumna822"/>
    <tableColumn id="823" name="Kolumna823"/>
    <tableColumn id="824" name="Kolumna824"/>
    <tableColumn id="825" name="Kolumna825"/>
    <tableColumn id="826" name="Kolumna826"/>
    <tableColumn id="827" name="Kolumna827"/>
    <tableColumn id="828" name="Kolumna828"/>
    <tableColumn id="829" name="Kolumna829"/>
    <tableColumn id="830" name="Kolumna830"/>
    <tableColumn id="831" name="Kolumna831"/>
    <tableColumn id="832" name="Kolumna832"/>
    <tableColumn id="833" name="Kolumna833"/>
    <tableColumn id="834" name="Kolumna834"/>
    <tableColumn id="835" name="Kolumna835"/>
    <tableColumn id="836" name="Kolumna836"/>
    <tableColumn id="837" name="Kolumna837"/>
    <tableColumn id="838" name="Kolumna838"/>
    <tableColumn id="839" name="Kolumna839"/>
    <tableColumn id="840" name="Kolumna840"/>
    <tableColumn id="841" name="Kolumna841"/>
    <tableColumn id="842" name="Kolumna842"/>
    <tableColumn id="843" name="Kolumna843"/>
    <tableColumn id="844" name="Kolumna844"/>
    <tableColumn id="845" name="Kolumna845"/>
    <tableColumn id="846" name="Kolumna846"/>
    <tableColumn id="847" name="Kolumna847"/>
    <tableColumn id="848" name="Kolumna848"/>
    <tableColumn id="849" name="Kolumna849"/>
    <tableColumn id="850" name="Kolumna850"/>
    <tableColumn id="851" name="Kolumna851"/>
    <tableColumn id="852" name="Kolumna852"/>
    <tableColumn id="853" name="Kolumna853"/>
    <tableColumn id="854" name="Kolumna854"/>
    <tableColumn id="855" name="Kolumna855"/>
    <tableColumn id="856" name="Kolumna856"/>
    <tableColumn id="857" name="Kolumna857"/>
    <tableColumn id="858" name="Kolumna858"/>
    <tableColumn id="859" name="Kolumna859"/>
    <tableColumn id="860" name="Kolumna860"/>
    <tableColumn id="861" name="Kolumna861"/>
    <tableColumn id="862" name="Kolumna862"/>
    <tableColumn id="863" name="Kolumna863"/>
    <tableColumn id="864" name="Kolumna864"/>
    <tableColumn id="865" name="Kolumna865"/>
    <tableColumn id="866" name="Kolumna866"/>
    <tableColumn id="867" name="Kolumna867"/>
    <tableColumn id="868" name="Kolumna868"/>
    <tableColumn id="869" name="Kolumna869"/>
    <tableColumn id="870" name="Kolumna870"/>
    <tableColumn id="871" name="Kolumna871"/>
    <tableColumn id="872" name="Kolumna872"/>
    <tableColumn id="873" name="Kolumna873"/>
    <tableColumn id="874" name="Kolumna874"/>
    <tableColumn id="875" name="Kolumna875"/>
    <tableColumn id="876" name="Kolumna876"/>
    <tableColumn id="877" name="Kolumna877"/>
    <tableColumn id="878" name="Kolumna878"/>
    <tableColumn id="879" name="Kolumna879"/>
    <tableColumn id="880" name="Kolumna880"/>
    <tableColumn id="881" name="Kolumna881"/>
    <tableColumn id="882" name="Kolumna882"/>
    <tableColumn id="883" name="Kolumna883"/>
    <tableColumn id="884" name="Kolumna884"/>
    <tableColumn id="885" name="Kolumna885"/>
    <tableColumn id="886" name="Kolumna886"/>
    <tableColumn id="887" name="Kolumna887"/>
    <tableColumn id="888" name="Kolumna888"/>
    <tableColumn id="889" name="Kolumna889"/>
    <tableColumn id="890" name="Kolumna890"/>
    <tableColumn id="891" name="Kolumna891"/>
    <tableColumn id="892" name="Kolumna892"/>
    <tableColumn id="893" name="Kolumna893"/>
    <tableColumn id="894" name="Kolumna894"/>
    <tableColumn id="895" name="Kolumna895"/>
    <tableColumn id="896" name="Kolumna896"/>
    <tableColumn id="897" name="Kolumna897"/>
    <tableColumn id="898" name="Kolumna898"/>
    <tableColumn id="899" name="Kolumna899"/>
    <tableColumn id="900" name="Kolumna900"/>
    <tableColumn id="901" name="Kolumna901"/>
    <tableColumn id="902" name="Kolumna902"/>
    <tableColumn id="903" name="Kolumna903"/>
    <tableColumn id="904" name="Kolumna904"/>
    <tableColumn id="905" name="Kolumna905"/>
    <tableColumn id="906" name="Kolumna906"/>
    <tableColumn id="907" name="Kolumna907"/>
    <tableColumn id="908" name="Kolumna908"/>
    <tableColumn id="909" name="Kolumna909"/>
    <tableColumn id="910" name="Kolumna910"/>
    <tableColumn id="911" name="Kolumna911"/>
    <tableColumn id="912" name="Kolumna912"/>
    <tableColumn id="913" name="Kolumna913"/>
    <tableColumn id="914" name="Kolumna914"/>
    <tableColumn id="915" name="Kolumna915"/>
    <tableColumn id="916" name="Kolumna916"/>
    <tableColumn id="917" name="Kolumna917"/>
    <tableColumn id="918" name="Kolumna918"/>
    <tableColumn id="919" name="Kolumna919"/>
    <tableColumn id="920" name="Kolumna920"/>
    <tableColumn id="921" name="Kolumna921"/>
    <tableColumn id="922" name="Kolumna922"/>
    <tableColumn id="923" name="Kolumna923"/>
    <tableColumn id="924" name="Kolumna924"/>
    <tableColumn id="925" name="Kolumna925"/>
    <tableColumn id="926" name="Kolumna926"/>
    <tableColumn id="927" name="Kolumna927"/>
    <tableColumn id="928" name="Kolumna928"/>
    <tableColumn id="929" name="Kolumna929"/>
    <tableColumn id="930" name="Kolumna930"/>
    <tableColumn id="931" name="Kolumna931"/>
    <tableColumn id="932" name="Kolumna932"/>
    <tableColumn id="933" name="Kolumna933"/>
    <tableColumn id="934" name="Kolumna934"/>
    <tableColumn id="935" name="Kolumna935"/>
    <tableColumn id="936" name="Kolumna936"/>
    <tableColumn id="937" name="Kolumna937"/>
    <tableColumn id="938" name="Kolumna938"/>
    <tableColumn id="939" name="Kolumna939"/>
    <tableColumn id="940" name="Kolumna940"/>
    <tableColumn id="941" name="Kolumna941"/>
    <tableColumn id="942" name="Kolumna942"/>
    <tableColumn id="943" name="Kolumna943"/>
    <tableColumn id="944" name="Kolumna944"/>
    <tableColumn id="945" name="Kolumna945"/>
    <tableColumn id="946" name="Kolumna946"/>
    <tableColumn id="947" name="Kolumna947"/>
    <tableColumn id="948" name="Kolumna948"/>
    <tableColumn id="949" name="Kolumna949"/>
    <tableColumn id="950" name="Kolumna950"/>
    <tableColumn id="951" name="Kolumna951"/>
    <tableColumn id="952" name="Kolumna952"/>
    <tableColumn id="953" name="Kolumna953"/>
    <tableColumn id="954" name="Kolumna954"/>
    <tableColumn id="955" name="Kolumna955"/>
    <tableColumn id="956" name="Kolumna956"/>
    <tableColumn id="957" name="Kolumna957"/>
    <tableColumn id="958" name="Kolumna958"/>
    <tableColumn id="959" name="Kolumna959"/>
    <tableColumn id="960" name="Kolumna960"/>
    <tableColumn id="961" name="Kolumna961"/>
    <tableColumn id="962" name="Kolumna962"/>
    <tableColumn id="963" name="Kolumna963"/>
    <tableColumn id="964" name="Kolumna964"/>
    <tableColumn id="965" name="Kolumna965"/>
    <tableColumn id="966" name="Kolumna966"/>
    <tableColumn id="967" name="Kolumna967"/>
    <tableColumn id="968" name="Kolumna968"/>
    <tableColumn id="969" name="Kolumna969"/>
    <tableColumn id="970" name="Kolumna970"/>
    <tableColumn id="971" name="Kolumna971"/>
    <tableColumn id="972" name="Kolumna972"/>
    <tableColumn id="973" name="Kolumna973"/>
    <tableColumn id="974" name="Kolumna974"/>
    <tableColumn id="975" name="Kolumna975"/>
    <tableColumn id="976" name="Kolumna976"/>
    <tableColumn id="977" name="Kolumna977"/>
    <tableColumn id="978" name="Kolumna978"/>
    <tableColumn id="979" name="Kolumna979"/>
    <tableColumn id="980" name="Kolumna980"/>
    <tableColumn id="981" name="Kolumna981"/>
    <tableColumn id="982" name="Kolumna982"/>
    <tableColumn id="983" name="Kolumna983"/>
    <tableColumn id="984" name="Kolumna984"/>
    <tableColumn id="985" name="Kolumna985"/>
    <tableColumn id="986" name="Kolumna986"/>
    <tableColumn id="987" name="Kolumna987"/>
    <tableColumn id="988" name="Kolumna988"/>
    <tableColumn id="989" name="Kolumna989"/>
    <tableColumn id="990" name="Kolumna990"/>
    <tableColumn id="991" name="Kolumna991"/>
    <tableColumn id="992" name="Kolumna992"/>
    <tableColumn id="993" name="Kolumna993"/>
    <tableColumn id="994" name="Kolumna994"/>
    <tableColumn id="995" name="Kolumna995"/>
    <tableColumn id="996" name="Kolumna996"/>
    <tableColumn id="997" name="Kolumna997"/>
    <tableColumn id="998" name="Kolumna998"/>
    <tableColumn id="999" name="Kolumna999"/>
    <tableColumn id="1000" name="Kolumna1000"/>
    <tableColumn id="1001" name="Kolumna1001"/>
    <tableColumn id="1002" name="Kolumna1002"/>
    <tableColumn id="1003" name="Kolumna1003"/>
    <tableColumn id="1004" name="Kolumna1004"/>
    <tableColumn id="1005" name="Kolumna1005"/>
    <tableColumn id="1006" name="Kolumna1006"/>
    <tableColumn id="1007" name="Kolumna1007"/>
    <tableColumn id="1008" name="Kolumna1008"/>
    <tableColumn id="1009" name="Kolumna1009"/>
    <tableColumn id="1010" name="Kolumna1010"/>
    <tableColumn id="1011" name="Kolumna1011"/>
    <tableColumn id="1012" name="Kolumna1012"/>
    <tableColumn id="1013" name="Kolumna1013"/>
    <tableColumn id="1014" name="Kolumna1014"/>
    <tableColumn id="1015" name="Kolumna1015"/>
    <tableColumn id="1016" name="Kolumna1016"/>
    <tableColumn id="1017" name="Kolumna1017"/>
    <tableColumn id="1018" name="Kolumna1018"/>
    <tableColumn id="1019" name="Kolumna1019"/>
    <tableColumn id="1020" name="Kolumna1020"/>
    <tableColumn id="1021" name="Kolumna1021"/>
    <tableColumn id="1022" name="Kolumna1022"/>
    <tableColumn id="1023" name="Kolumna1023"/>
    <tableColumn id="1024" name="Kolumna1024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4"/>
  <sheetViews>
    <sheetView zoomScale="85" zoomScaleNormal="85" workbookViewId="0">
      <selection activeCell="C28" activeCellId="1" sqref="B28 C28"/>
    </sheetView>
  </sheetViews>
  <sheetFormatPr defaultRowHeight="14.25"/>
  <cols>
    <col min="1" max="1" width="70.375" customWidth="1"/>
    <col min="2" max="2" width="12.125" customWidth="1"/>
    <col min="3" max="3" width="19.875" customWidth="1"/>
    <col min="4" max="4" width="19.75" customWidth="1"/>
    <col min="5" max="5" width="21.625" customWidth="1"/>
    <col min="6" max="6" width="12.875" customWidth="1"/>
    <col min="7" max="7" width="15" customWidth="1"/>
    <col min="8" max="8" width="69.125" customWidth="1"/>
  </cols>
  <sheetData>
    <row r="1" spans="1:9" ht="42.75">
      <c r="A1" t="s">
        <v>0</v>
      </c>
      <c r="B1" s="5" t="s">
        <v>1</v>
      </c>
      <c r="C1" s="18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5" t="s">
        <v>7</v>
      </c>
    </row>
    <row r="2" spans="1:9" ht="17.45" customHeight="1">
      <c r="A2" t="s">
        <v>8</v>
      </c>
      <c r="B2" s="27">
        <v>1</v>
      </c>
      <c r="C2" s="27">
        <v>35</v>
      </c>
      <c r="D2" s="27">
        <v>0.2</v>
      </c>
      <c r="E2" s="27">
        <v>10</v>
      </c>
      <c r="F2" s="188"/>
      <c r="G2" s="190">
        <v>5.3769999999999998</v>
      </c>
      <c r="H2" s="3" t="s">
        <v>9</v>
      </c>
    </row>
    <row r="3" spans="1:9">
      <c r="A3" t="s">
        <v>10</v>
      </c>
      <c r="B3" s="27">
        <v>2</v>
      </c>
      <c r="C3" s="27">
        <v>35</v>
      </c>
      <c r="D3" s="27">
        <v>0.4</v>
      </c>
      <c r="E3" s="27">
        <v>20</v>
      </c>
      <c r="F3" s="188">
        <v>53.06</v>
      </c>
      <c r="G3" s="190">
        <v>11.96</v>
      </c>
      <c r="H3" s="3" t="s">
        <v>9</v>
      </c>
    </row>
    <row r="4" spans="1:9">
      <c r="A4" t="s">
        <v>11</v>
      </c>
      <c r="B4" s="27">
        <v>3</v>
      </c>
      <c r="C4" s="27">
        <v>35</v>
      </c>
      <c r="D4" s="27">
        <v>0.6</v>
      </c>
      <c r="E4" s="27">
        <v>30</v>
      </c>
      <c r="F4" s="188">
        <v>68.98</v>
      </c>
      <c r="G4" s="190">
        <v>16.899999999999999</v>
      </c>
      <c r="H4" s="3" t="s">
        <v>12</v>
      </c>
    </row>
    <row r="5" spans="1:9">
      <c r="A5" t="s">
        <v>11</v>
      </c>
      <c r="B5" s="27">
        <v>4</v>
      </c>
      <c r="C5" s="27">
        <v>35</v>
      </c>
      <c r="D5" s="27">
        <v>0.8</v>
      </c>
      <c r="E5" s="27">
        <v>40</v>
      </c>
      <c r="F5" s="188">
        <v>87.39</v>
      </c>
      <c r="G5" s="190">
        <v>19.16</v>
      </c>
      <c r="H5" s="3" t="s">
        <v>12</v>
      </c>
    </row>
    <row r="6" spans="1:9" ht="28.5">
      <c r="A6" t="s">
        <v>13</v>
      </c>
      <c r="B6" s="5">
        <v>5</v>
      </c>
      <c r="C6" s="5">
        <v>30</v>
      </c>
      <c r="D6" s="5">
        <v>0.2</v>
      </c>
      <c r="E6" s="5">
        <v>20</v>
      </c>
      <c r="F6" s="188">
        <v>47.36</v>
      </c>
      <c r="G6" s="190">
        <v>9.7289999999999992</v>
      </c>
      <c r="H6" s="3" t="s">
        <v>14</v>
      </c>
    </row>
    <row r="7" spans="1:9" ht="28.5">
      <c r="A7" t="s">
        <v>15</v>
      </c>
      <c r="B7" s="5">
        <v>6</v>
      </c>
      <c r="C7" s="5">
        <v>30</v>
      </c>
      <c r="D7" s="5">
        <v>0.4</v>
      </c>
      <c r="E7" s="5">
        <v>10</v>
      </c>
      <c r="F7" s="189">
        <v>10.89</v>
      </c>
      <c r="G7" s="189">
        <v>1.51</v>
      </c>
      <c r="H7" s="21" t="s">
        <v>16</v>
      </c>
    </row>
    <row r="8" spans="1:9" ht="28.5">
      <c r="A8" t="s">
        <v>17</v>
      </c>
      <c r="B8" s="5">
        <v>7</v>
      </c>
      <c r="C8" s="5">
        <v>30</v>
      </c>
      <c r="D8" s="5">
        <v>0.6</v>
      </c>
      <c r="E8" s="5">
        <v>40</v>
      </c>
      <c r="F8" s="190">
        <v>83.7</v>
      </c>
      <c r="G8" s="190">
        <v>22.33</v>
      </c>
      <c r="H8" s="3" t="s">
        <v>18</v>
      </c>
    </row>
    <row r="9" spans="1:9" ht="28.5">
      <c r="A9" t="s">
        <v>19</v>
      </c>
      <c r="B9" s="5">
        <v>8</v>
      </c>
      <c r="C9" s="5">
        <v>30</v>
      </c>
      <c r="D9" s="5">
        <v>0.8</v>
      </c>
      <c r="E9" s="5">
        <v>30</v>
      </c>
      <c r="F9" s="190">
        <v>67.489999999999995</v>
      </c>
      <c r="G9" s="190">
        <v>19.68</v>
      </c>
      <c r="H9" s="3" t="s">
        <v>18</v>
      </c>
    </row>
    <row r="10" spans="1:9" ht="28.5">
      <c r="A10" t="s">
        <v>20</v>
      </c>
      <c r="B10" s="27">
        <v>9</v>
      </c>
      <c r="C10" s="27">
        <v>25</v>
      </c>
      <c r="D10" s="27">
        <v>0.2</v>
      </c>
      <c r="E10" s="27">
        <v>40</v>
      </c>
      <c r="F10" s="190">
        <v>65.7</v>
      </c>
      <c r="G10" s="190">
        <v>25.74</v>
      </c>
      <c r="H10" s="3" t="s">
        <v>18</v>
      </c>
    </row>
    <row r="11" spans="1:9" ht="28.5">
      <c r="A11" t="s">
        <v>21</v>
      </c>
      <c r="B11" s="27">
        <v>10</v>
      </c>
      <c r="C11" s="27">
        <v>25</v>
      </c>
      <c r="D11" s="27">
        <v>0.4</v>
      </c>
      <c r="E11" s="27">
        <v>30</v>
      </c>
      <c r="F11" s="190">
        <v>54.09</v>
      </c>
      <c r="G11" s="190">
        <v>19.02</v>
      </c>
      <c r="H11" s="3" t="s">
        <v>18</v>
      </c>
    </row>
    <row r="12" spans="1:9" ht="28.5">
      <c r="A12" t="s">
        <v>22</v>
      </c>
      <c r="B12" s="27">
        <v>11</v>
      </c>
      <c r="C12" s="27">
        <v>25</v>
      </c>
      <c r="D12" s="27">
        <v>0.6</v>
      </c>
      <c r="E12" s="27">
        <v>10</v>
      </c>
      <c r="F12" s="189">
        <v>2.7360000000000002</v>
      </c>
      <c r="G12" s="189">
        <v>0.39340000000000003</v>
      </c>
      <c r="H12" s="21" t="s">
        <v>23</v>
      </c>
    </row>
    <row r="13" spans="1:9" ht="28.5">
      <c r="A13" t="s">
        <v>24</v>
      </c>
      <c r="B13" s="27">
        <v>12</v>
      </c>
      <c r="C13" s="27">
        <v>25</v>
      </c>
      <c r="D13" s="27">
        <v>0.8</v>
      </c>
      <c r="E13" s="27">
        <v>20</v>
      </c>
      <c r="F13" s="190">
        <v>21.47</v>
      </c>
      <c r="G13" s="190">
        <v>5.766</v>
      </c>
      <c r="H13" s="3" t="s">
        <v>18</v>
      </c>
    </row>
    <row r="14" spans="1:9" ht="28.5">
      <c r="A14" t="s">
        <v>25</v>
      </c>
      <c r="B14" s="5">
        <v>13</v>
      </c>
      <c r="C14" s="5">
        <v>20</v>
      </c>
      <c r="D14" s="5">
        <v>0.2</v>
      </c>
      <c r="E14" s="5">
        <v>30</v>
      </c>
      <c r="F14" s="190">
        <v>36.53</v>
      </c>
      <c r="G14" s="190">
        <v>13.08</v>
      </c>
      <c r="H14" s="3" t="s">
        <v>18</v>
      </c>
    </row>
    <row r="15" spans="1:9" ht="28.5">
      <c r="A15" t="s">
        <v>26</v>
      </c>
      <c r="B15" s="5">
        <v>14</v>
      </c>
      <c r="C15" s="5">
        <v>20</v>
      </c>
      <c r="D15" s="5">
        <v>0.4</v>
      </c>
      <c r="E15" s="5">
        <v>40</v>
      </c>
      <c r="F15" s="190">
        <v>88.6</v>
      </c>
      <c r="G15" s="190">
        <v>18.64</v>
      </c>
      <c r="H15" s="3" t="s">
        <v>18</v>
      </c>
    </row>
    <row r="16" spans="1:9" ht="28.5">
      <c r="A16" t="s">
        <v>27</v>
      </c>
      <c r="B16" s="5">
        <v>15</v>
      </c>
      <c r="C16" s="5">
        <v>20</v>
      </c>
      <c r="D16" s="5">
        <v>0.6</v>
      </c>
      <c r="E16" s="5">
        <v>20</v>
      </c>
      <c r="F16" s="191">
        <v>14.21</v>
      </c>
      <c r="G16" s="191">
        <v>2.9889999999999999</v>
      </c>
      <c r="H16" s="22" t="s">
        <v>28</v>
      </c>
      <c r="I16" t="s">
        <v>29</v>
      </c>
    </row>
    <row r="17" spans="1:9" ht="28.5">
      <c r="A17" t="s">
        <v>30</v>
      </c>
      <c r="B17" s="5">
        <v>16</v>
      </c>
      <c r="C17" s="5">
        <v>20</v>
      </c>
      <c r="D17" s="5">
        <v>0.8</v>
      </c>
      <c r="E17" s="5">
        <v>10</v>
      </c>
      <c r="F17" s="189">
        <v>1.329</v>
      </c>
      <c r="G17" s="189">
        <v>0.21360000000000001</v>
      </c>
      <c r="H17" s="21" t="s">
        <v>23</v>
      </c>
    </row>
    <row r="18" spans="1:9" ht="28.5">
      <c r="A18" t="s">
        <v>31</v>
      </c>
      <c r="B18" s="27">
        <v>17</v>
      </c>
      <c r="C18" s="27">
        <v>25</v>
      </c>
      <c r="D18" s="27">
        <v>0.6</v>
      </c>
      <c r="E18" s="27">
        <v>30</v>
      </c>
      <c r="F18" s="192">
        <v>44.37</v>
      </c>
      <c r="G18" s="190">
        <v>16.579999999999998</v>
      </c>
      <c r="H18" s="3" t="s">
        <v>18</v>
      </c>
    </row>
    <row r="19" spans="1:9" ht="28.5">
      <c r="A19" s="23" t="s">
        <v>32</v>
      </c>
      <c r="B19" s="27">
        <v>18</v>
      </c>
      <c r="C19" s="27">
        <v>25</v>
      </c>
      <c r="D19" s="27">
        <v>0.4</v>
      </c>
      <c r="E19" s="27">
        <v>30</v>
      </c>
      <c r="F19" s="190">
        <v>45.17</v>
      </c>
      <c r="G19" s="190">
        <v>21.2</v>
      </c>
      <c r="H19" s="3" t="s">
        <v>18</v>
      </c>
    </row>
    <row r="20" spans="1:9" ht="29.25" thickBot="1">
      <c r="A20" t="s">
        <v>33</v>
      </c>
      <c r="B20" s="28">
        <v>19</v>
      </c>
      <c r="C20" s="28">
        <v>25</v>
      </c>
      <c r="D20" s="28">
        <v>0.6</v>
      </c>
      <c r="E20" s="28">
        <v>20</v>
      </c>
      <c r="F20" s="193">
        <v>18.68</v>
      </c>
      <c r="G20" s="193">
        <v>6.149</v>
      </c>
      <c r="H20" s="21" t="s">
        <v>34</v>
      </c>
    </row>
    <row r="21" spans="1:9" ht="28.5">
      <c r="A21" t="s">
        <v>35</v>
      </c>
      <c r="B21" s="28">
        <v>20</v>
      </c>
      <c r="C21" s="28">
        <v>20</v>
      </c>
      <c r="D21" s="28">
        <v>0.8</v>
      </c>
      <c r="E21" s="28">
        <v>20</v>
      </c>
      <c r="F21" s="194">
        <v>8.1790000000000003</v>
      </c>
      <c r="G21" s="197">
        <v>1.4259999999999999</v>
      </c>
      <c r="H21" s="22" t="s">
        <v>28</v>
      </c>
      <c r="I21" t="s">
        <v>29</v>
      </c>
    </row>
    <row r="22" spans="1:9" hidden="1">
      <c r="A22" t="s">
        <v>35</v>
      </c>
      <c r="B22" s="68">
        <v>20</v>
      </c>
      <c r="C22" s="68">
        <v>20</v>
      </c>
      <c r="D22" s="68">
        <v>0.8</v>
      </c>
      <c r="E22" s="68">
        <v>20</v>
      </c>
      <c r="F22" s="195">
        <v>8.4740000000000002</v>
      </c>
      <c r="G22" s="198">
        <v>1.4350000000000001</v>
      </c>
      <c r="H22" s="14" t="s">
        <v>36</v>
      </c>
    </row>
    <row r="23" spans="1:9">
      <c r="A23" t="s">
        <v>37</v>
      </c>
      <c r="B23" s="69">
        <v>21</v>
      </c>
      <c r="C23" s="69">
        <v>20</v>
      </c>
      <c r="D23" s="69">
        <v>0.8</v>
      </c>
      <c r="E23" s="69">
        <v>25</v>
      </c>
      <c r="F23" s="196">
        <v>8.7560000000000002</v>
      </c>
      <c r="G23" s="196">
        <v>4.1719999999999997</v>
      </c>
      <c r="H23" s="2"/>
    </row>
    <row r="24" spans="1:9">
      <c r="A24" t="s">
        <v>38</v>
      </c>
      <c r="B24" s="69">
        <v>22</v>
      </c>
      <c r="C24" s="69">
        <v>15</v>
      </c>
      <c r="D24" s="69">
        <v>0.8</v>
      </c>
      <c r="E24" s="69">
        <v>25</v>
      </c>
      <c r="F24" s="196">
        <v>9.6739999999999995</v>
      </c>
      <c r="G24" s="196">
        <v>0.9758</v>
      </c>
      <c r="H24" s="2"/>
    </row>
  </sheetData>
  <autoFilter ref="B1:I2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N33"/>
  <sheetViews>
    <sheetView topLeftCell="A8" zoomScaleNormal="100" workbookViewId="0">
      <selection activeCell="A34" sqref="A34"/>
    </sheetView>
  </sheetViews>
  <sheetFormatPr defaultRowHeight="14.25"/>
  <cols>
    <col min="1" max="1" width="43.375" bestFit="1" customWidth="1"/>
    <col min="2" max="2" width="14.375" customWidth="1"/>
    <col min="3" max="3" width="21.125" customWidth="1"/>
    <col min="4" max="4" width="28.875" customWidth="1"/>
    <col min="5" max="5" width="26.875" customWidth="1"/>
    <col min="6" max="6" width="8.625" customWidth="1"/>
    <col min="7" max="7" width="8.75" customWidth="1"/>
    <col min="9" max="9" width="12.25" customWidth="1"/>
    <col min="14" max="14" width="83.125" customWidth="1"/>
  </cols>
  <sheetData>
    <row r="5" spans="1:14">
      <c r="B5" s="1"/>
      <c r="C5" s="1"/>
      <c r="D5" s="1"/>
      <c r="E5" s="1"/>
      <c r="F5" s="1"/>
    </row>
    <row r="6" spans="1:14" ht="28.5">
      <c r="A6" s="3" t="s">
        <v>2</v>
      </c>
      <c r="B6" s="8">
        <v>35</v>
      </c>
      <c r="C6" s="8">
        <v>30</v>
      </c>
      <c r="D6" s="8">
        <v>25</v>
      </c>
      <c r="E6" s="8">
        <v>20</v>
      </c>
      <c r="F6" s="1"/>
      <c r="G6" t="s">
        <v>39</v>
      </c>
    </row>
    <row r="7" spans="1:14" ht="28.5">
      <c r="A7" s="3" t="s">
        <v>3</v>
      </c>
      <c r="B7" s="8">
        <v>0.2</v>
      </c>
      <c r="C7" s="8">
        <v>0.4</v>
      </c>
      <c r="D7" s="8">
        <v>0.6</v>
      </c>
      <c r="E7" s="8">
        <v>0.8</v>
      </c>
      <c r="F7" s="1"/>
      <c r="G7" s="10">
        <v>3.9521999999999999</v>
      </c>
      <c r="I7" s="9"/>
    </row>
    <row r="8" spans="1:14" ht="28.5">
      <c r="A8" s="3" t="s">
        <v>4</v>
      </c>
      <c r="B8" s="8">
        <v>10</v>
      </c>
      <c r="C8" s="8">
        <v>20</v>
      </c>
      <c r="D8" s="8">
        <v>30</v>
      </c>
      <c r="E8" s="8">
        <v>40</v>
      </c>
      <c r="F8" s="1"/>
    </row>
    <row r="9" spans="1:14">
      <c r="F9" s="1"/>
    </row>
    <row r="10" spans="1:14">
      <c r="K10" t="s">
        <v>40</v>
      </c>
    </row>
    <row r="11" spans="1:14" ht="45">
      <c r="B11" s="5" t="s">
        <v>41</v>
      </c>
      <c r="C11" s="6" t="str">
        <f>A6</f>
        <v>steżenie fazy stałej 
[%obj]</v>
      </c>
      <c r="D11" s="6" t="str">
        <f>A7</f>
        <v>stężenie upłynniacza 
[%wag w stos do masy proszku]</v>
      </c>
      <c r="E11" s="6" t="str">
        <f>A8</f>
        <v>ilość porogenu 
[ %wag w stosunku do masy proszku]</v>
      </c>
      <c r="G11" s="2" t="s">
        <v>42</v>
      </c>
      <c r="H11" s="2" t="s">
        <v>43</v>
      </c>
      <c r="I11" s="3" t="s">
        <v>44</v>
      </c>
      <c r="J11" s="3" t="s">
        <v>45</v>
      </c>
      <c r="K11" s="2" t="s">
        <v>46</v>
      </c>
      <c r="M11" s="2"/>
      <c r="N11" s="2" t="s">
        <v>47</v>
      </c>
    </row>
    <row r="12" spans="1:14" ht="16.350000000000001" customHeight="1">
      <c r="A12" t="s">
        <v>48</v>
      </c>
      <c r="B12" s="7">
        <v>1</v>
      </c>
      <c r="C12" s="4">
        <f>$B$6</f>
        <v>35</v>
      </c>
      <c r="D12" s="4">
        <f>B7</f>
        <v>0.2</v>
      </c>
      <c r="E12" s="4">
        <f>B8</f>
        <v>10</v>
      </c>
      <c r="G12" s="11">
        <f>((15*C12)/100)*$G$7</f>
        <v>20.74905</v>
      </c>
      <c r="H12" s="11">
        <f>(((G12*D12)/100)*100)/65</f>
        <v>6.3843230769230777E-2</v>
      </c>
      <c r="I12" s="11">
        <f>(((G12*D12)/100)*100)/65-((G12*D12)/100)</f>
        <v>2.2345130769230774E-2</v>
      </c>
      <c r="J12" s="11">
        <f>15-((15*C12)/100)-I12</f>
        <v>9.7276548692307685</v>
      </c>
      <c r="K12" s="11">
        <f>(G12*E12)/100</f>
        <v>2.0749049999999998</v>
      </c>
      <c r="M12" s="3">
        <v>1</v>
      </c>
      <c r="N12" s="2" t="s">
        <v>49</v>
      </c>
    </row>
    <row r="13" spans="1:14" ht="15">
      <c r="A13" t="s">
        <v>48</v>
      </c>
      <c r="B13" s="7">
        <v>2</v>
      </c>
      <c r="C13" s="4">
        <f>$B$6</f>
        <v>35</v>
      </c>
      <c r="D13" s="4">
        <f>C7</f>
        <v>0.4</v>
      </c>
      <c r="E13" s="4">
        <f>C8</f>
        <v>20</v>
      </c>
      <c r="G13" s="11">
        <f>((15*C14)/100)*$G$7</f>
        <v>20.74905</v>
      </c>
      <c r="H13" s="11">
        <f t="shared" ref="H13" si="0">(((G13*D13)/100)*100)/65</f>
        <v>0.12768646153846155</v>
      </c>
      <c r="I13" s="11">
        <f t="shared" ref="I13" si="1">(((G13*D13)/100)*100)/65-((G13*D13)/100)</f>
        <v>4.4690261538461548E-2</v>
      </c>
      <c r="J13" s="11">
        <f t="shared" ref="J13" si="2">15-((15*C13)/100)-I13</f>
        <v>9.7053097384615388</v>
      </c>
      <c r="K13" s="11">
        <f t="shared" ref="K13" si="3">(G13*E13)/100</f>
        <v>4.1498099999999996</v>
      </c>
      <c r="M13" s="2">
        <v>2</v>
      </c>
      <c r="N13" s="2" t="s">
        <v>49</v>
      </c>
    </row>
    <row r="14" spans="1:14" ht="15">
      <c r="A14" t="s">
        <v>50</v>
      </c>
      <c r="B14" s="7">
        <v>3</v>
      </c>
      <c r="C14" s="4">
        <f>$B$6</f>
        <v>35</v>
      </c>
      <c r="D14" s="4">
        <f>D7</f>
        <v>0.6</v>
      </c>
      <c r="E14" s="4">
        <f>D8</f>
        <v>30</v>
      </c>
      <c r="G14" s="11">
        <f>((15*C15)/100)*$G$7</f>
        <v>20.74905</v>
      </c>
      <c r="H14" s="11">
        <f>(((G14*D14)/100)*100)/65</f>
        <v>0.19152969230769229</v>
      </c>
      <c r="I14" s="11">
        <f>(((G14*D14)/100)*100)/65-((G14*D14)/100)</f>
        <v>6.7035392307692288E-2</v>
      </c>
      <c r="J14" s="11">
        <f>15-((15*C14)/100)-I14</f>
        <v>9.6829646076923073</v>
      </c>
      <c r="K14" s="11">
        <f>(G14*E14)/100</f>
        <v>6.2247149999999998</v>
      </c>
      <c r="M14" s="2">
        <v>3</v>
      </c>
      <c r="N14" s="2" t="s">
        <v>51</v>
      </c>
    </row>
    <row r="15" spans="1:14" ht="15">
      <c r="A15" t="s">
        <v>50</v>
      </c>
      <c r="B15" s="7">
        <v>4</v>
      </c>
      <c r="C15" s="4">
        <f>$B$6</f>
        <v>35</v>
      </c>
      <c r="D15" s="4">
        <f>E7</f>
        <v>0.8</v>
      </c>
      <c r="E15" s="4">
        <f>E8</f>
        <v>40</v>
      </c>
      <c r="G15" s="11">
        <f>((15*C15)/100)*$G$7</f>
        <v>20.74905</v>
      </c>
      <c r="H15" s="11">
        <f>(((G15*D15)/100)*100)/65</f>
        <v>0.25537292307692311</v>
      </c>
      <c r="I15" s="11">
        <f>(((G15*D15)/100)*100)/65-((G15*D15)/100)</f>
        <v>8.9380523076923096E-2</v>
      </c>
      <c r="J15" s="11">
        <f>15-((15*C15)/100)-I15</f>
        <v>9.6606194769230775</v>
      </c>
      <c r="K15" s="11">
        <f>(G15*E15)/100</f>
        <v>8.2996199999999991</v>
      </c>
      <c r="M15" s="3">
        <v>4</v>
      </c>
      <c r="N15" s="2" t="s">
        <v>51</v>
      </c>
    </row>
    <row r="16" spans="1:14" ht="15">
      <c r="A16" t="s">
        <v>52</v>
      </c>
      <c r="B16" s="8">
        <v>5</v>
      </c>
      <c r="C16" s="5">
        <f>$C$6</f>
        <v>30</v>
      </c>
      <c r="D16" s="5">
        <f>B7</f>
        <v>0.2</v>
      </c>
      <c r="E16" s="5">
        <f>C8</f>
        <v>20</v>
      </c>
      <c r="G16" s="11">
        <f>((15*C16)/100)*$G$7</f>
        <v>17.7849</v>
      </c>
      <c r="H16" s="11">
        <f>(((G16*D16)/100)*100)/65</f>
        <v>5.4722769230769241E-2</v>
      </c>
      <c r="I16" s="11">
        <f>(((G16*D16)/100)*100)/65-((G16*D16)/100)</f>
        <v>1.9152969230769236E-2</v>
      </c>
      <c r="J16" s="11">
        <f>15-((15*C16)/100)-I16</f>
        <v>10.480847030769231</v>
      </c>
      <c r="K16" s="11">
        <f>(G16*E16)/100</f>
        <v>3.5569799999999998</v>
      </c>
      <c r="M16" s="2">
        <v>5</v>
      </c>
      <c r="N16" s="2" t="s">
        <v>53</v>
      </c>
    </row>
    <row r="17" spans="1:14" ht="15">
      <c r="A17" t="s">
        <v>52</v>
      </c>
      <c r="B17" s="8">
        <v>6</v>
      </c>
      <c r="C17" s="5">
        <f>$C$6</f>
        <v>30</v>
      </c>
      <c r="D17" s="5">
        <f>C7</f>
        <v>0.4</v>
      </c>
      <c r="E17" s="5">
        <f>B8</f>
        <v>10</v>
      </c>
      <c r="G17" s="11">
        <f>((15*C17)/100)*$G$7</f>
        <v>17.7849</v>
      </c>
      <c r="H17" s="11">
        <f t="shared" ref="H17:H26" si="4">(((G17*D17)/100)*100)/65</f>
        <v>0.10944553846153848</v>
      </c>
      <c r="I17" s="11">
        <f t="shared" ref="I17:I26" si="5">(((G17*D17)/100)*100)/65-((G17*D17)/100)</f>
        <v>3.8305938461538472E-2</v>
      </c>
      <c r="J17" s="11">
        <f t="shared" ref="J17:J26" si="6">15-((15*C17)/100)-I17</f>
        <v>10.461694061538461</v>
      </c>
      <c r="K17" s="11">
        <f>(G17*E17)/100</f>
        <v>1.7784899999999999</v>
      </c>
      <c r="M17" s="2">
        <v>6</v>
      </c>
      <c r="N17" s="20" t="s">
        <v>54</v>
      </c>
    </row>
    <row r="18" spans="1:14" ht="15">
      <c r="A18" t="s">
        <v>55</v>
      </c>
      <c r="B18" s="8">
        <v>7</v>
      </c>
      <c r="C18" s="5">
        <f>$C$6</f>
        <v>30</v>
      </c>
      <c r="D18" s="5">
        <f>D7</f>
        <v>0.6</v>
      </c>
      <c r="E18" s="5">
        <f>E8</f>
        <v>40</v>
      </c>
      <c r="G18" s="11">
        <f t="shared" ref="G18:G26" si="7">((15*C18)/100)*$G$7</f>
        <v>17.7849</v>
      </c>
      <c r="H18" s="11">
        <f t="shared" si="4"/>
        <v>0.1641683076923077</v>
      </c>
      <c r="I18" s="11">
        <f t="shared" si="5"/>
        <v>5.7458907692307701E-2</v>
      </c>
      <c r="J18" s="11">
        <f t="shared" si="6"/>
        <v>10.442541092307692</v>
      </c>
      <c r="K18" s="11">
        <f>(G18*E18)/100</f>
        <v>7.1139599999999996</v>
      </c>
      <c r="M18" s="3">
        <v>7</v>
      </c>
      <c r="N18" s="2" t="s">
        <v>56</v>
      </c>
    </row>
    <row r="19" spans="1:14" ht="15">
      <c r="A19" t="s">
        <v>55</v>
      </c>
      <c r="B19" s="8">
        <v>8</v>
      </c>
      <c r="C19" s="5">
        <f>$C$6</f>
        <v>30</v>
      </c>
      <c r="D19" s="5">
        <f>E7</f>
        <v>0.8</v>
      </c>
      <c r="E19" s="5">
        <f>D8</f>
        <v>30</v>
      </c>
      <c r="G19" s="11">
        <f>((15*C19)/100)*$G$7</f>
        <v>17.7849</v>
      </c>
      <c r="H19" s="11">
        <f t="shared" si="4"/>
        <v>0.21889107692307697</v>
      </c>
      <c r="I19" s="11">
        <f t="shared" si="5"/>
        <v>7.6611876923076944E-2</v>
      </c>
      <c r="J19" s="11">
        <f t="shared" si="6"/>
        <v>10.423388123076924</v>
      </c>
      <c r="K19" s="11">
        <f t="shared" ref="K19:K25" si="8">(G19*E19)/100</f>
        <v>5.3354699999999999</v>
      </c>
      <c r="M19" s="2">
        <v>8</v>
      </c>
      <c r="N19" s="2" t="s">
        <v>56</v>
      </c>
    </row>
    <row r="20" spans="1:14" ht="15">
      <c r="A20" t="s">
        <v>57</v>
      </c>
      <c r="B20" s="7">
        <v>9</v>
      </c>
      <c r="C20" s="4">
        <f>$D$6</f>
        <v>25</v>
      </c>
      <c r="D20" s="4">
        <f>B7</f>
        <v>0.2</v>
      </c>
      <c r="E20" s="4">
        <f>E8</f>
        <v>40</v>
      </c>
      <c r="G20" s="11">
        <f t="shared" si="7"/>
        <v>14.82075</v>
      </c>
      <c r="H20" s="11">
        <f t="shared" si="4"/>
        <v>4.5602307692307692E-2</v>
      </c>
      <c r="I20" s="11">
        <f t="shared" si="5"/>
        <v>1.5960807692307691E-2</v>
      </c>
      <c r="J20" s="11">
        <f t="shared" si="6"/>
        <v>11.234039192307693</v>
      </c>
      <c r="K20" s="11">
        <f t="shared" si="8"/>
        <v>5.9283000000000001</v>
      </c>
      <c r="M20" s="2">
        <v>9</v>
      </c>
      <c r="N20" s="2" t="s">
        <v>56</v>
      </c>
    </row>
    <row r="21" spans="1:14" ht="15">
      <c r="A21" t="s">
        <v>57</v>
      </c>
      <c r="B21" s="7">
        <v>10</v>
      </c>
      <c r="C21" s="4">
        <f>$D$6</f>
        <v>25</v>
      </c>
      <c r="D21" s="4">
        <f>C7</f>
        <v>0.4</v>
      </c>
      <c r="E21" s="4">
        <f>D8</f>
        <v>30</v>
      </c>
      <c r="G21" s="11">
        <f t="shared" si="7"/>
        <v>14.82075</v>
      </c>
      <c r="H21" s="11">
        <f t="shared" si="4"/>
        <v>9.1204615384615384E-2</v>
      </c>
      <c r="I21" s="11">
        <f t="shared" si="5"/>
        <v>3.1921615384615382E-2</v>
      </c>
      <c r="J21" s="11">
        <f t="shared" si="6"/>
        <v>11.218078384615385</v>
      </c>
      <c r="K21" s="11">
        <f>(G21*E21)/100</f>
        <v>4.4462250000000001</v>
      </c>
      <c r="M21" s="3">
        <v>10</v>
      </c>
      <c r="N21" s="2" t="s">
        <v>56</v>
      </c>
    </row>
    <row r="22" spans="1:14" ht="15">
      <c r="A22" t="s">
        <v>57</v>
      </c>
      <c r="B22" s="7">
        <v>11</v>
      </c>
      <c r="C22" s="4">
        <f>$D$6</f>
        <v>25</v>
      </c>
      <c r="D22" s="4">
        <f>D7</f>
        <v>0.6</v>
      </c>
      <c r="E22" s="4">
        <f>B8</f>
        <v>10</v>
      </c>
      <c r="G22" s="11">
        <f t="shared" si="7"/>
        <v>14.82075</v>
      </c>
      <c r="H22" s="11">
        <f t="shared" si="4"/>
        <v>0.13680692307692308</v>
      </c>
      <c r="I22" s="11">
        <f t="shared" si="5"/>
        <v>4.7882423076923072E-2</v>
      </c>
      <c r="J22" s="11">
        <f t="shared" si="6"/>
        <v>11.202117576923078</v>
      </c>
      <c r="K22" s="11">
        <f t="shared" si="8"/>
        <v>1.482075</v>
      </c>
      <c r="M22" s="2">
        <v>11</v>
      </c>
      <c r="N22" s="20" t="s">
        <v>58</v>
      </c>
    </row>
    <row r="23" spans="1:14" ht="15">
      <c r="A23" t="s">
        <v>59</v>
      </c>
      <c r="B23" s="7">
        <v>12</v>
      </c>
      <c r="C23" s="4">
        <f>$D$6</f>
        <v>25</v>
      </c>
      <c r="D23" s="4">
        <f>E7</f>
        <v>0.8</v>
      </c>
      <c r="E23" s="4">
        <f>C8</f>
        <v>20</v>
      </c>
      <c r="G23" s="11">
        <f t="shared" si="7"/>
        <v>14.82075</v>
      </c>
      <c r="H23" s="11">
        <f t="shared" si="4"/>
        <v>0.18240923076923077</v>
      </c>
      <c r="I23" s="11">
        <f t="shared" si="5"/>
        <v>6.3843230769230763E-2</v>
      </c>
      <c r="J23" s="11">
        <f t="shared" si="6"/>
        <v>11.186156769230768</v>
      </c>
      <c r="K23" s="11">
        <f t="shared" si="8"/>
        <v>2.9641500000000001</v>
      </c>
      <c r="M23" s="2">
        <v>12</v>
      </c>
      <c r="N23" s="2"/>
    </row>
    <row r="24" spans="1:14" ht="15">
      <c r="A24" t="s">
        <v>59</v>
      </c>
      <c r="B24" s="8">
        <v>13</v>
      </c>
      <c r="C24" s="5">
        <f>$E$6</f>
        <v>20</v>
      </c>
      <c r="D24" s="5">
        <f>B7</f>
        <v>0.2</v>
      </c>
      <c r="E24" s="5">
        <f>D8</f>
        <v>30</v>
      </c>
      <c r="G24" s="11">
        <f t="shared" si="7"/>
        <v>11.8566</v>
      </c>
      <c r="H24" s="11">
        <f t="shared" si="4"/>
        <v>3.6481846153846156E-2</v>
      </c>
      <c r="I24" s="11">
        <f t="shared" si="5"/>
        <v>1.2768646153846153E-2</v>
      </c>
      <c r="J24" s="11">
        <f t="shared" si="6"/>
        <v>11.987231353846154</v>
      </c>
      <c r="K24" s="11">
        <f>(G24*E24)/100</f>
        <v>3.5569799999999998</v>
      </c>
      <c r="M24" s="3">
        <v>13</v>
      </c>
      <c r="N24" s="2"/>
    </row>
    <row r="25" spans="1:14" ht="15">
      <c r="A25" t="s">
        <v>60</v>
      </c>
      <c r="B25" s="8">
        <v>14</v>
      </c>
      <c r="C25" s="5">
        <f>$E$6</f>
        <v>20</v>
      </c>
      <c r="D25" s="5">
        <f>C7</f>
        <v>0.4</v>
      </c>
      <c r="E25" s="5">
        <f>E8</f>
        <v>40</v>
      </c>
      <c r="G25" s="11">
        <f t="shared" si="7"/>
        <v>11.8566</v>
      </c>
      <c r="H25" s="11">
        <f t="shared" si="4"/>
        <v>7.2963692307692313E-2</v>
      </c>
      <c r="I25" s="11">
        <f t="shared" si="5"/>
        <v>2.5537292307692305E-2</v>
      </c>
      <c r="J25" s="11">
        <f t="shared" si="6"/>
        <v>11.974462707692307</v>
      </c>
      <c r="K25" s="11">
        <f t="shared" si="8"/>
        <v>4.7426399999999997</v>
      </c>
      <c r="M25" s="2">
        <v>14</v>
      </c>
      <c r="N25" s="2" t="s">
        <v>56</v>
      </c>
    </row>
    <row r="26" spans="1:14" ht="15">
      <c r="A26" t="s">
        <v>60</v>
      </c>
      <c r="B26" s="8">
        <v>15</v>
      </c>
      <c r="C26" s="5">
        <f>$E$6</f>
        <v>20</v>
      </c>
      <c r="D26" s="5">
        <f>D7</f>
        <v>0.6</v>
      </c>
      <c r="E26" s="5">
        <f>C8</f>
        <v>20</v>
      </c>
      <c r="G26" s="11">
        <f t="shared" si="7"/>
        <v>11.8566</v>
      </c>
      <c r="H26" s="11">
        <f t="shared" si="4"/>
        <v>0.10944553846153846</v>
      </c>
      <c r="I26" s="11">
        <f t="shared" si="5"/>
        <v>3.8305938461538458E-2</v>
      </c>
      <c r="J26" s="11">
        <f t="shared" si="6"/>
        <v>11.961694061538461</v>
      </c>
      <c r="K26" s="11">
        <f t="shared" ref="K26:K30" si="9">(G26*E26)/100</f>
        <v>2.3713199999999999</v>
      </c>
      <c r="M26" s="2">
        <v>15</v>
      </c>
      <c r="N26" s="20" t="s">
        <v>61</v>
      </c>
    </row>
    <row r="27" spans="1:14" ht="15">
      <c r="A27" t="s">
        <v>60</v>
      </c>
      <c r="B27" s="8">
        <v>16</v>
      </c>
      <c r="C27" s="5">
        <f>$E$6</f>
        <v>20</v>
      </c>
      <c r="D27" s="5">
        <f>E7</f>
        <v>0.8</v>
      </c>
      <c r="E27" s="5">
        <f>B8</f>
        <v>10</v>
      </c>
      <c r="G27" s="11">
        <f>((15*C27)/100)*$G$7</f>
        <v>11.8566</v>
      </c>
      <c r="H27" s="11">
        <f>(((G27*D27)/100)*100)/65</f>
        <v>0.14592738461538463</v>
      </c>
      <c r="I27" s="11">
        <f>(((G27*D27)/100)*100)/65-((G27*D27)/100)</f>
        <v>5.1074584615384611E-2</v>
      </c>
      <c r="J27" s="11">
        <f>15-((15*C27)/100)-I27</f>
        <v>11.948925415384615</v>
      </c>
      <c r="K27" s="11">
        <f t="shared" si="9"/>
        <v>1.1856599999999999</v>
      </c>
      <c r="M27" s="3">
        <v>16</v>
      </c>
      <c r="N27" s="20" t="s">
        <v>58</v>
      </c>
    </row>
    <row r="28" spans="1:14" ht="15">
      <c r="B28" s="7">
        <v>17</v>
      </c>
      <c r="C28" s="24">
        <v>25</v>
      </c>
      <c r="D28" s="24">
        <v>0.6</v>
      </c>
      <c r="E28" s="24">
        <v>30</v>
      </c>
      <c r="F28" s="2"/>
      <c r="G28" s="11">
        <f>((15*C28)/100)*$G$7</f>
        <v>14.82075</v>
      </c>
      <c r="H28" s="11">
        <f>(((G28*D28)/100)*100)/65</f>
        <v>0.13680692307692308</v>
      </c>
      <c r="I28" s="11">
        <f>(((G28*D28)/100)*100)/65-((G28*D28)/100)</f>
        <v>4.7882423076923072E-2</v>
      </c>
      <c r="J28" s="11">
        <f>15-((15*C28)/100)-I28</f>
        <v>11.202117576923078</v>
      </c>
      <c r="K28" s="11">
        <f t="shared" si="9"/>
        <v>4.4462250000000001</v>
      </c>
      <c r="M28" s="3">
        <v>17</v>
      </c>
      <c r="N28" s="2" t="s">
        <v>56</v>
      </c>
    </row>
    <row r="29" spans="1:14" ht="15">
      <c r="B29" s="7">
        <v>18</v>
      </c>
      <c r="C29" s="24">
        <v>25</v>
      </c>
      <c r="D29" s="24">
        <v>0.4</v>
      </c>
      <c r="E29" s="24">
        <v>30</v>
      </c>
      <c r="F29" s="2"/>
      <c r="G29" s="11">
        <f>((15*C29)/100)*$G$7</f>
        <v>14.82075</v>
      </c>
      <c r="H29" s="11">
        <f>(((G29*D29)/100)*100)/65</f>
        <v>9.1204615384615384E-2</v>
      </c>
      <c r="I29" s="11">
        <f>(((G29*D29)/100)*100)/65-((G29*D29)/100)</f>
        <v>3.1921615384615382E-2</v>
      </c>
      <c r="J29" s="11">
        <f>15-((15*C29)/100)-I29</f>
        <v>11.218078384615385</v>
      </c>
      <c r="K29" s="11">
        <f t="shared" si="9"/>
        <v>4.4462250000000001</v>
      </c>
      <c r="M29" s="3">
        <v>18</v>
      </c>
      <c r="N29" s="2" t="s">
        <v>56</v>
      </c>
    </row>
    <row r="30" spans="1:14" ht="15">
      <c r="B30" s="26">
        <v>19</v>
      </c>
      <c r="C30" s="25">
        <v>25</v>
      </c>
      <c r="D30" s="25">
        <v>0.6</v>
      </c>
      <c r="E30" s="25">
        <v>20</v>
      </c>
      <c r="G30" s="11">
        <f>((15*C30)/100)*$G$7</f>
        <v>14.82075</v>
      </c>
      <c r="H30" s="11">
        <f>(((G30*D30)/100)*100)/65</f>
        <v>0.13680692307692308</v>
      </c>
      <c r="I30" s="11">
        <f t="shared" ref="I30" si="10">(((G30*D30)/100)*100)/65-((G30*D30)/100)</f>
        <v>4.7882423076923072E-2</v>
      </c>
      <c r="J30" s="11">
        <f t="shared" ref="J30" si="11">15-((15*C30)/100)-I30</f>
        <v>11.202117576923078</v>
      </c>
      <c r="K30" s="11">
        <f t="shared" si="9"/>
        <v>2.9641500000000001</v>
      </c>
      <c r="M30" s="2">
        <v>19</v>
      </c>
      <c r="N30" s="20" t="s">
        <v>62</v>
      </c>
    </row>
    <row r="31" spans="1:14" ht="15">
      <c r="B31" s="45">
        <v>20</v>
      </c>
      <c r="C31" s="25">
        <v>20</v>
      </c>
      <c r="D31" s="25">
        <v>0.8</v>
      </c>
      <c r="E31" s="25">
        <v>20</v>
      </c>
      <c r="G31" s="11">
        <f t="shared" ref="G31" si="12">((15*C31)/100)*$G$7</f>
        <v>11.8566</v>
      </c>
      <c r="H31" s="11">
        <f t="shared" ref="H31:H33" si="13">(((G31*D31)/100)*100)/65</f>
        <v>0.14592738461538463</v>
      </c>
      <c r="I31" s="11">
        <f t="shared" ref="I31:I33" si="14">(((G31*D31)/100)*100)/65-((G31*D31)/100)</f>
        <v>5.1074584615384611E-2</v>
      </c>
      <c r="J31" s="11">
        <f t="shared" ref="J31:J33" si="15">15-((15*C31)/100)-I31</f>
        <v>11.948925415384615</v>
      </c>
      <c r="K31" s="11">
        <f t="shared" ref="K31" si="16">(G31*E31)/100</f>
        <v>2.3713199999999999</v>
      </c>
      <c r="M31" s="3">
        <v>20</v>
      </c>
      <c r="N31" s="20" t="s">
        <v>61</v>
      </c>
    </row>
    <row r="32" spans="1:14" ht="15">
      <c r="B32" s="63">
        <v>21</v>
      </c>
      <c r="C32" s="64">
        <v>20</v>
      </c>
      <c r="D32" s="65">
        <v>0.8</v>
      </c>
      <c r="E32" s="65">
        <v>25</v>
      </c>
      <c r="G32" s="11">
        <f>((15*C32)/100)*$G$7</f>
        <v>11.8566</v>
      </c>
      <c r="H32" s="11">
        <f t="shared" si="13"/>
        <v>0.14592738461538463</v>
      </c>
      <c r="I32" s="11">
        <f t="shared" si="14"/>
        <v>5.1074584615384611E-2</v>
      </c>
      <c r="J32" s="11">
        <f t="shared" si="15"/>
        <v>11.948925415384615</v>
      </c>
      <c r="K32" s="11">
        <f>(G32*E32)/100</f>
        <v>2.9641500000000001</v>
      </c>
      <c r="M32" s="3">
        <v>21</v>
      </c>
      <c r="N32" s="2" t="s">
        <v>53</v>
      </c>
    </row>
    <row r="33" spans="2:13" ht="15">
      <c r="B33" s="66">
        <v>22</v>
      </c>
      <c r="C33" s="67">
        <v>15</v>
      </c>
      <c r="D33" s="67">
        <v>0.8</v>
      </c>
      <c r="E33" s="67">
        <v>25</v>
      </c>
      <c r="G33" s="46">
        <f>((15*C33)/100)*$G$7</f>
        <v>8.8924500000000002</v>
      </c>
      <c r="H33" s="46">
        <f t="shared" si="13"/>
        <v>0.10944553846153848</v>
      </c>
      <c r="I33" s="46">
        <f t="shared" si="14"/>
        <v>3.8305938461538472E-2</v>
      </c>
      <c r="J33" s="46">
        <f t="shared" si="15"/>
        <v>12.711694061538461</v>
      </c>
      <c r="K33" s="46">
        <f>(G33*E33)/100</f>
        <v>2.2231125</v>
      </c>
      <c r="M33" s="3">
        <v>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4"/>
  <sheetViews>
    <sheetView zoomScale="70" zoomScaleNormal="70" workbookViewId="0">
      <selection activeCell="B10" sqref="B10"/>
    </sheetView>
  </sheetViews>
  <sheetFormatPr defaultRowHeight="14.25"/>
  <cols>
    <col min="2" max="2" width="48.375" customWidth="1"/>
    <col min="3" max="3" width="11.75" customWidth="1"/>
    <col min="4" max="4" width="15" customWidth="1"/>
    <col min="5" max="5" width="15.625" customWidth="1"/>
    <col min="6" max="6" width="16.625" customWidth="1"/>
    <col min="7" max="7" width="14.375" customWidth="1"/>
    <col min="8" max="9" width="14.875" customWidth="1"/>
    <col min="10" max="10" width="15.375" customWidth="1"/>
    <col min="11" max="16" width="14.875" customWidth="1"/>
    <col min="17" max="17" width="14.75" customWidth="1"/>
    <col min="18" max="18" width="14.625" customWidth="1"/>
  </cols>
  <sheetData>
    <row r="1" spans="1:19" ht="15" thickBot="1"/>
    <row r="2" spans="1:19" ht="24.6" customHeight="1">
      <c r="B2" s="205" t="s">
        <v>63</v>
      </c>
      <c r="C2" s="203" t="s">
        <v>64</v>
      </c>
      <c r="D2" s="203" t="s">
        <v>65</v>
      </c>
      <c r="E2" s="203" t="s">
        <v>66</v>
      </c>
      <c r="F2" s="203" t="s">
        <v>67</v>
      </c>
      <c r="G2" s="203" t="s">
        <v>68</v>
      </c>
      <c r="H2" s="202" t="s">
        <v>69</v>
      </c>
      <c r="I2" s="202"/>
      <c r="J2" s="202" t="s">
        <v>70</v>
      </c>
      <c r="K2" s="202"/>
      <c r="L2" s="202" t="s">
        <v>71</v>
      </c>
      <c r="M2" s="202"/>
      <c r="N2" s="202" t="s">
        <v>72</v>
      </c>
      <c r="O2" s="202"/>
      <c r="P2" s="202" t="s">
        <v>73</v>
      </c>
      <c r="Q2" s="202"/>
      <c r="R2" s="200"/>
    </row>
    <row r="3" spans="1:19" ht="26.1" customHeight="1" thickBot="1">
      <c r="A3" s="41" t="s">
        <v>74</v>
      </c>
      <c r="B3" s="206"/>
      <c r="C3" s="204"/>
      <c r="D3" s="204"/>
      <c r="E3" s="204"/>
      <c r="F3" s="204"/>
      <c r="G3" s="204"/>
      <c r="H3" s="62" t="s">
        <v>75</v>
      </c>
      <c r="I3" s="62" t="s">
        <v>76</v>
      </c>
      <c r="J3" s="62" t="s">
        <v>75</v>
      </c>
      <c r="K3" s="62" t="s">
        <v>76</v>
      </c>
      <c r="L3" s="62" t="s">
        <v>75</v>
      </c>
      <c r="M3" s="62" t="s">
        <v>76</v>
      </c>
      <c r="N3" s="62" t="s">
        <v>75</v>
      </c>
      <c r="O3" s="62" t="s">
        <v>76</v>
      </c>
      <c r="P3" s="62" t="s">
        <v>75</v>
      </c>
      <c r="Q3" s="62" t="s">
        <v>76</v>
      </c>
      <c r="R3" s="201"/>
    </row>
    <row r="4" spans="1:19" ht="18">
      <c r="A4" s="42">
        <v>1</v>
      </c>
      <c r="B4" s="17" t="s">
        <v>35</v>
      </c>
      <c r="C4" s="93">
        <v>1.37</v>
      </c>
      <c r="D4" s="93">
        <v>4</v>
      </c>
      <c r="E4" s="93">
        <v>45</v>
      </c>
      <c r="F4" s="93" t="s">
        <v>77</v>
      </c>
      <c r="G4" s="94">
        <v>0.15</v>
      </c>
      <c r="H4" s="95">
        <v>50.895122434904529</v>
      </c>
      <c r="I4" s="95">
        <v>3.0909953396133454</v>
      </c>
      <c r="J4" s="96">
        <v>613.88990063694268</v>
      </c>
      <c r="K4" s="96">
        <v>110.8324776580173</v>
      </c>
      <c r="L4" s="97">
        <v>1.7687499999999998E-2</v>
      </c>
      <c r="M4" s="97">
        <v>1.6487549415067292E-3</v>
      </c>
      <c r="N4" s="98">
        <v>2.605</v>
      </c>
      <c r="O4" s="98">
        <v>0.10295630140986999</v>
      </c>
      <c r="P4" s="98">
        <v>1.910179737282214</v>
      </c>
      <c r="Q4" s="98">
        <v>0.12023971871095902</v>
      </c>
      <c r="R4" s="99"/>
    </row>
    <row r="5" spans="1:19" ht="18">
      <c r="A5" s="42">
        <v>2</v>
      </c>
      <c r="B5" s="15" t="s">
        <v>35</v>
      </c>
      <c r="C5" s="100">
        <v>1.37</v>
      </c>
      <c r="D5" s="100">
        <v>5</v>
      </c>
      <c r="E5" s="100">
        <v>47</v>
      </c>
      <c r="F5" s="100" t="s">
        <v>78</v>
      </c>
      <c r="G5" s="101">
        <v>0.15</v>
      </c>
      <c r="H5" s="102">
        <v>37.792597609251459</v>
      </c>
      <c r="I5" s="102">
        <v>4.4056564732769843</v>
      </c>
      <c r="J5" s="102">
        <v>309.77916433121015</v>
      </c>
      <c r="K5" s="102">
        <v>106.81312648420912</v>
      </c>
      <c r="L5" s="103">
        <v>1.375E-2</v>
      </c>
      <c r="M5" s="103">
        <v>1.4832396974191321E-3</v>
      </c>
      <c r="N5" s="104">
        <v>2.25</v>
      </c>
      <c r="O5" s="104">
        <v>0.10849621454884291</v>
      </c>
      <c r="P5" s="104">
        <v>2.4198679530001184</v>
      </c>
      <c r="Q5" s="104">
        <v>0.17138003681047509</v>
      </c>
      <c r="R5" s="105"/>
    </row>
    <row r="6" spans="1:19" ht="18">
      <c r="A6" s="42">
        <v>3</v>
      </c>
      <c r="B6" s="15" t="s">
        <v>35</v>
      </c>
      <c r="C6" s="100">
        <v>1.37</v>
      </c>
      <c r="D6" s="100">
        <v>4</v>
      </c>
      <c r="E6" s="100">
        <v>30</v>
      </c>
      <c r="F6" s="100" t="s">
        <v>77</v>
      </c>
      <c r="G6" s="101">
        <v>0.05</v>
      </c>
      <c r="H6" s="106">
        <v>63.067626627475484</v>
      </c>
      <c r="I6" s="102">
        <v>4.9216989455770257</v>
      </c>
      <c r="J6" s="102">
        <v>428.16899464968145</v>
      </c>
      <c r="K6" s="102">
        <v>140.48615022442638</v>
      </c>
      <c r="L6" s="103">
        <v>1.2249999999999999E-2</v>
      </c>
      <c r="M6" s="103">
        <v>1.5657038581508868E-3</v>
      </c>
      <c r="N6" s="104">
        <v>2.4542857142857142</v>
      </c>
      <c r="O6" s="104">
        <v>0.15175167685588001</v>
      </c>
      <c r="P6" s="104">
        <v>1.4366693241912039</v>
      </c>
      <c r="Q6" s="104">
        <v>0.19145408898294727</v>
      </c>
      <c r="R6" s="105"/>
    </row>
    <row r="7" spans="1:19" ht="18">
      <c r="A7" s="42">
        <v>4</v>
      </c>
      <c r="B7" s="15" t="s">
        <v>35</v>
      </c>
      <c r="C7" s="100">
        <v>1.37</v>
      </c>
      <c r="D7" s="100">
        <v>4</v>
      </c>
      <c r="E7" s="100">
        <v>30</v>
      </c>
      <c r="F7" s="100" t="s">
        <v>79</v>
      </c>
      <c r="G7" s="101">
        <v>0.05</v>
      </c>
      <c r="H7" s="107">
        <v>49.516391871275893</v>
      </c>
      <c r="I7" s="107">
        <v>4.3537979398748519</v>
      </c>
      <c r="J7" s="102">
        <v>426.16619235668793</v>
      </c>
      <c r="K7" s="107">
        <v>153.78848164832203</v>
      </c>
      <c r="L7" s="108">
        <v>1.3550000000000001E-2</v>
      </c>
      <c r="M7" s="108">
        <v>2.1340772512460069E-3</v>
      </c>
      <c r="N7" s="104">
        <v>2.3849999999999998</v>
      </c>
      <c r="O7" s="104">
        <v>0.14451890632617687</v>
      </c>
      <c r="P7" s="104">
        <v>1.9638123562073679</v>
      </c>
      <c r="Q7" s="104">
        <v>0.16936273986113176</v>
      </c>
      <c r="R7" s="105"/>
    </row>
    <row r="8" spans="1:19" ht="18">
      <c r="A8" s="42">
        <v>5</v>
      </c>
      <c r="B8" s="15" t="s">
        <v>35</v>
      </c>
      <c r="C8" s="100">
        <v>0.84</v>
      </c>
      <c r="D8" s="100">
        <v>4</v>
      </c>
      <c r="E8" s="100">
        <v>32</v>
      </c>
      <c r="F8" s="100" t="s">
        <v>79</v>
      </c>
      <c r="G8" s="101">
        <v>0.05</v>
      </c>
      <c r="H8" s="102">
        <v>10.635823614488823</v>
      </c>
      <c r="I8" s="102">
        <v>2.5086938293304377</v>
      </c>
      <c r="J8" s="107">
        <v>235.30276687898086</v>
      </c>
      <c r="K8" s="102">
        <v>36.951798095029289</v>
      </c>
      <c r="L8" s="103">
        <v>9.8625000000000015E-3</v>
      </c>
      <c r="M8" s="103">
        <v>6.479362843454814E-4</v>
      </c>
      <c r="N8" s="104">
        <v>1.75</v>
      </c>
      <c r="O8" s="104">
        <v>3.7032803990902093E-2</v>
      </c>
      <c r="P8" s="104">
        <v>3.5460279873128968</v>
      </c>
      <c r="Q8" s="104">
        <v>0.16168661651337468</v>
      </c>
      <c r="R8" s="105"/>
    </row>
    <row r="9" spans="1:19" ht="18">
      <c r="A9" s="42">
        <v>6</v>
      </c>
      <c r="B9" s="15" t="s">
        <v>80</v>
      </c>
      <c r="C9" s="100">
        <v>0.84</v>
      </c>
      <c r="D9" s="100">
        <v>4</v>
      </c>
      <c r="E9" s="100">
        <v>13</v>
      </c>
      <c r="F9" s="100" t="s">
        <v>77</v>
      </c>
      <c r="G9" s="101">
        <v>0.05</v>
      </c>
      <c r="H9" s="107">
        <v>31.04999350835287</v>
      </c>
      <c r="I9" s="107">
        <v>2.5973338703296092</v>
      </c>
      <c r="J9" s="102">
        <v>447.56174292993626</v>
      </c>
      <c r="K9" s="107">
        <v>134.50776602204553</v>
      </c>
      <c r="L9" s="108">
        <v>1.3900000000000001E-2</v>
      </c>
      <c r="M9" s="108">
        <v>2.3904572186687876E-4</v>
      </c>
      <c r="N9" s="104">
        <v>2.1475000000000004</v>
      </c>
      <c r="O9" s="104">
        <v>2.1213203435596444E-2</v>
      </c>
      <c r="P9" s="104">
        <v>2.6821552525250736</v>
      </c>
      <c r="Q9" s="104">
        <v>0.10103628755582174</v>
      </c>
      <c r="R9" s="105"/>
    </row>
    <row r="10" spans="1:19" ht="18">
      <c r="A10" s="44">
        <v>7</v>
      </c>
      <c r="B10" s="15" t="s">
        <v>80</v>
      </c>
      <c r="C10" s="109">
        <v>1.37</v>
      </c>
      <c r="D10" s="109">
        <v>5</v>
      </c>
      <c r="E10" s="109">
        <v>17</v>
      </c>
      <c r="F10" s="109" t="s">
        <v>78</v>
      </c>
      <c r="G10" s="110">
        <v>0.05</v>
      </c>
      <c r="H10" s="111">
        <v>46.247558010883118</v>
      </c>
      <c r="I10" s="111">
        <v>4.4462322379788963</v>
      </c>
      <c r="J10" s="112">
        <v>223.00341847133757</v>
      </c>
      <c r="K10" s="111">
        <v>24.313936653393572</v>
      </c>
      <c r="L10" s="113">
        <v>8.8625000000000006E-3</v>
      </c>
      <c r="M10" s="113">
        <v>3.204349722308275E-4</v>
      </c>
      <c r="N10" s="114">
        <v>2.0150000000000001</v>
      </c>
      <c r="O10" s="104">
        <v>7.1514234347336225E-2</v>
      </c>
      <c r="P10" s="104">
        <v>2.1502619598871529</v>
      </c>
      <c r="Q10" s="104">
        <v>0.22257046294398053</v>
      </c>
      <c r="R10" s="115"/>
      <c r="S10" t="s">
        <v>81</v>
      </c>
    </row>
    <row r="11" spans="1:19" ht="18">
      <c r="A11" s="42">
        <v>8</v>
      </c>
      <c r="B11" s="12" t="s">
        <v>35</v>
      </c>
      <c r="C11" s="100">
        <v>0.84</v>
      </c>
      <c r="D11" s="100">
        <v>5</v>
      </c>
      <c r="E11" s="100">
        <v>40</v>
      </c>
      <c r="F11" s="100" t="s">
        <v>82</v>
      </c>
      <c r="G11" s="101">
        <v>0.05</v>
      </c>
      <c r="H11" s="107">
        <v>32.283484681037656</v>
      </c>
      <c r="I11" s="107">
        <v>5.8346395464410632</v>
      </c>
      <c r="J11" s="106">
        <v>506.74164585987251</v>
      </c>
      <c r="K11" s="116">
        <v>59.369877399252822</v>
      </c>
      <c r="L11" s="108">
        <v>1.2E-2</v>
      </c>
      <c r="M11" s="108">
        <v>2.2038926600773592E-4</v>
      </c>
      <c r="N11" s="104">
        <v>2.02</v>
      </c>
      <c r="O11" s="104">
        <v>9.5618288746751573E-2</v>
      </c>
      <c r="P11" s="117">
        <v>2.6341724459076352</v>
      </c>
      <c r="Q11" s="104">
        <v>0.22696747835655687</v>
      </c>
      <c r="R11" s="105"/>
    </row>
    <row r="12" spans="1:19" ht="18">
      <c r="A12" s="42">
        <v>9</v>
      </c>
      <c r="B12" s="12" t="s">
        <v>35</v>
      </c>
      <c r="C12" s="118">
        <v>0.8</v>
      </c>
      <c r="D12" s="118">
        <v>5</v>
      </c>
      <c r="E12" s="118">
        <v>40</v>
      </c>
      <c r="F12" s="100" t="s">
        <v>82</v>
      </c>
      <c r="G12" s="118" t="s">
        <v>83</v>
      </c>
      <c r="H12" s="119">
        <v>54.119079697875222</v>
      </c>
      <c r="I12" s="119">
        <v>5.6972775479997884</v>
      </c>
      <c r="J12" s="102">
        <v>419.63070318471335</v>
      </c>
      <c r="K12" s="102">
        <v>69.244819701977278</v>
      </c>
      <c r="L12" s="103">
        <v>1.4424999999999999E-2</v>
      </c>
      <c r="M12" s="103">
        <v>1.4528297511113568E-3</v>
      </c>
      <c r="N12" s="104">
        <v>2.4887500000000005</v>
      </c>
      <c r="O12" s="104">
        <v>7.0191065772544844E-2</v>
      </c>
      <c r="P12" s="104">
        <v>1.7847677997526541</v>
      </c>
      <c r="Q12" s="104">
        <v>0.22162409661719126</v>
      </c>
      <c r="R12" s="120"/>
    </row>
    <row r="13" spans="1:19" ht="18">
      <c r="A13" s="42">
        <v>10</v>
      </c>
      <c r="B13" s="12" t="s">
        <v>35</v>
      </c>
      <c r="C13" s="118">
        <v>0.8</v>
      </c>
      <c r="D13" s="118">
        <v>5</v>
      </c>
      <c r="E13" s="118">
        <v>40</v>
      </c>
      <c r="F13" s="100" t="s">
        <v>78</v>
      </c>
      <c r="G13" s="118" t="s">
        <v>83</v>
      </c>
      <c r="H13" s="119">
        <v>37.373980467295596</v>
      </c>
      <c r="I13" s="119">
        <v>3.1715801721362973</v>
      </c>
      <c r="J13" s="102">
        <v>295.96360812101904</v>
      </c>
      <c r="K13" s="102">
        <v>43.054378569374954</v>
      </c>
      <c r="L13" s="103">
        <v>1.0749999999999999E-2</v>
      </c>
      <c r="M13" s="103">
        <v>7.5592894601845444E-4</v>
      </c>
      <c r="N13" s="104">
        <v>2.0374999999999996</v>
      </c>
      <c r="O13" s="104">
        <v>5.2304056111493732E-2</v>
      </c>
      <c r="P13" s="104">
        <v>2.4361521598222016</v>
      </c>
      <c r="Q13" s="104">
        <v>0.12337446869610191</v>
      </c>
      <c r="R13" s="120"/>
    </row>
    <row r="14" spans="1:19" ht="18">
      <c r="A14" s="42">
        <v>11</v>
      </c>
      <c r="B14" s="12" t="s">
        <v>35</v>
      </c>
      <c r="C14" s="118" t="s">
        <v>84</v>
      </c>
      <c r="D14" s="118">
        <v>5</v>
      </c>
      <c r="E14" s="118">
        <v>40</v>
      </c>
      <c r="F14" s="100" t="s">
        <v>78</v>
      </c>
      <c r="G14" s="118" t="s">
        <v>83</v>
      </c>
      <c r="H14" s="102">
        <v>53.961376625702407</v>
      </c>
      <c r="I14" s="102">
        <v>4.1815794677854159</v>
      </c>
      <c r="J14" s="102">
        <v>246.75894012738851</v>
      </c>
      <c r="K14" s="102">
        <v>46.371345671094694</v>
      </c>
      <c r="L14" s="103">
        <v>6.0624999999999993E-3</v>
      </c>
      <c r="M14" s="103">
        <v>4.3073856837496472E-4</v>
      </c>
      <c r="N14" s="104">
        <v>1.86</v>
      </c>
      <c r="O14" s="104">
        <v>7.4833147735478819E-2</v>
      </c>
      <c r="P14" s="104">
        <v>1.7909024492601766</v>
      </c>
      <c r="Q14" s="104">
        <v>0.16266344129685259</v>
      </c>
      <c r="R14" s="120"/>
    </row>
    <row r="15" spans="1:19" ht="18">
      <c r="A15" s="43">
        <v>12</v>
      </c>
      <c r="B15" s="12" t="s">
        <v>35</v>
      </c>
      <c r="C15" s="118">
        <v>0.8</v>
      </c>
      <c r="D15" s="118">
        <v>5</v>
      </c>
      <c r="E15" s="118">
        <v>40</v>
      </c>
      <c r="F15" s="100" t="s">
        <v>78</v>
      </c>
      <c r="G15" s="118" t="s">
        <v>83</v>
      </c>
      <c r="H15" s="102">
        <v>46.98115755737367</v>
      </c>
      <c r="I15" s="102">
        <v>4.1999572714175342</v>
      </c>
      <c r="J15" s="102">
        <v>362.32291337579619</v>
      </c>
      <c r="K15" s="102">
        <v>59.827712909033941</v>
      </c>
      <c r="L15" s="103">
        <v>1.15E-2</v>
      </c>
      <c r="M15" s="103">
        <v>9.8561076060916229E-4</v>
      </c>
      <c r="N15" s="104">
        <v>2.1675</v>
      </c>
      <c r="O15" s="104">
        <v>7.2061481686523376E-2</v>
      </c>
      <c r="P15" s="104">
        <v>2.1649118972752914</v>
      </c>
      <c r="Q15" s="104">
        <v>0.23487849567526445</v>
      </c>
      <c r="R15" s="120"/>
    </row>
    <row r="16" spans="1:19" ht="18">
      <c r="A16" s="43">
        <v>13</v>
      </c>
      <c r="B16" s="12" t="s">
        <v>35</v>
      </c>
      <c r="C16" s="118" t="s">
        <v>84</v>
      </c>
      <c r="D16" s="118">
        <v>5</v>
      </c>
      <c r="E16" s="118">
        <v>40</v>
      </c>
      <c r="F16" s="100" t="s">
        <v>78</v>
      </c>
      <c r="G16" s="118" t="s">
        <v>83</v>
      </c>
      <c r="H16" s="106">
        <v>58.43526084742971</v>
      </c>
      <c r="I16" s="102">
        <v>7.1205690460271391</v>
      </c>
      <c r="J16" s="102">
        <v>295.43021146496812</v>
      </c>
      <c r="K16" s="102">
        <v>53.909828234909341</v>
      </c>
      <c r="L16" s="103">
        <v>7.6249999999999998E-3</v>
      </c>
      <c r="M16" s="103">
        <v>5.5484875674109843E-4</v>
      </c>
      <c r="N16" s="104">
        <v>2.0425000000000004</v>
      </c>
      <c r="O16" s="104">
        <v>0.17870566383221956</v>
      </c>
      <c r="P16" s="104">
        <v>1.7505138586988476</v>
      </c>
      <c r="Q16" s="104">
        <v>0.25028965084305194</v>
      </c>
      <c r="R16" s="120"/>
    </row>
    <row r="17" spans="1:18" ht="18">
      <c r="A17" s="43">
        <v>14</v>
      </c>
      <c r="B17" s="12" t="s">
        <v>35</v>
      </c>
      <c r="C17" s="118">
        <v>0.8</v>
      </c>
      <c r="D17" s="118">
        <v>5</v>
      </c>
      <c r="E17" s="118">
        <v>40</v>
      </c>
      <c r="F17" s="100" t="s">
        <v>85</v>
      </c>
      <c r="G17" s="118" t="s">
        <v>83</v>
      </c>
      <c r="H17" s="119">
        <v>43.117292977480631</v>
      </c>
      <c r="I17" s="119">
        <v>4.2134101419390326</v>
      </c>
      <c r="J17" s="119">
        <v>429.83032611464967</v>
      </c>
      <c r="K17" s="119">
        <v>69.160084037983268</v>
      </c>
      <c r="L17" s="121">
        <v>1.115E-2</v>
      </c>
      <c r="M17" s="121">
        <v>2.9760952365713805E-4</v>
      </c>
      <c r="N17" s="122">
        <v>2.1112500000000001</v>
      </c>
      <c r="O17" s="122">
        <v>5.5145910352186876E-2</v>
      </c>
      <c r="P17" s="122">
        <v>2.2692304579794325</v>
      </c>
      <c r="Q17" s="122">
        <v>0.22035853912244394</v>
      </c>
      <c r="R17" s="120"/>
    </row>
    <row r="18" spans="1:18" ht="18">
      <c r="A18" s="43">
        <v>15</v>
      </c>
      <c r="B18" s="12" t="s">
        <v>35</v>
      </c>
      <c r="C18" s="118">
        <v>0.8</v>
      </c>
      <c r="D18" s="118">
        <v>5</v>
      </c>
      <c r="E18" s="118">
        <v>40</v>
      </c>
      <c r="F18" s="100" t="s">
        <v>85</v>
      </c>
      <c r="G18" s="118" t="s">
        <v>83</v>
      </c>
      <c r="H18" s="119">
        <v>41.0281830064649</v>
      </c>
      <c r="I18" s="119">
        <v>2.3191513695716779</v>
      </c>
      <c r="J18" s="119">
        <v>285.8730114649681</v>
      </c>
      <c r="K18" s="119">
        <v>68.893107164195641</v>
      </c>
      <c r="L18" s="121">
        <v>9.8250000000000004E-3</v>
      </c>
      <c r="M18" s="121">
        <v>3.6936238496708309E-4</v>
      </c>
      <c r="N18" s="122">
        <v>2.0149999999999997</v>
      </c>
      <c r="O18" s="122">
        <v>2.070196678027067E-2</v>
      </c>
      <c r="P18" s="122">
        <v>2.2940036810485154</v>
      </c>
      <c r="Q18" s="122">
        <v>9.0214988276338171E-2</v>
      </c>
      <c r="R18" s="120"/>
    </row>
    <row r="19" spans="1:18" ht="18">
      <c r="A19" s="43">
        <v>16</v>
      </c>
      <c r="B19" s="12" t="s">
        <v>35</v>
      </c>
      <c r="C19" s="118">
        <v>0.4</v>
      </c>
      <c r="D19" s="118">
        <v>5</v>
      </c>
      <c r="E19" s="118">
        <v>32</v>
      </c>
      <c r="F19" s="100" t="s">
        <v>85</v>
      </c>
      <c r="G19" s="118" t="s">
        <v>83</v>
      </c>
      <c r="H19" s="119">
        <v>46.665440904896286</v>
      </c>
      <c r="I19" s="119">
        <v>4.7260952222173351</v>
      </c>
      <c r="J19" s="119">
        <v>199.87330063694262</v>
      </c>
      <c r="K19" s="119">
        <v>25.706377582265468</v>
      </c>
      <c r="L19" s="121">
        <v>5.5624999999999997E-3</v>
      </c>
      <c r="M19" s="121">
        <v>1.4078859531733577E-4</v>
      </c>
      <c r="N19" s="122">
        <v>1.75</v>
      </c>
      <c r="O19" s="122">
        <v>6.9693205243716957E-2</v>
      </c>
      <c r="P19" s="122">
        <v>2.0093885637592255</v>
      </c>
      <c r="Q19" s="122">
        <v>0.25121754733136226</v>
      </c>
      <c r="R19" s="120"/>
    </row>
    <row r="20" spans="1:18" ht="18">
      <c r="A20" s="43">
        <v>17</v>
      </c>
      <c r="B20" s="15" t="s">
        <v>38</v>
      </c>
      <c r="C20" s="118">
        <v>0.8</v>
      </c>
      <c r="D20" s="118">
        <v>5</v>
      </c>
      <c r="E20" s="118">
        <v>40</v>
      </c>
      <c r="F20" s="100" t="s">
        <v>85</v>
      </c>
      <c r="G20" s="118" t="s">
        <v>83</v>
      </c>
      <c r="H20" s="119">
        <v>46.973844039271121</v>
      </c>
      <c r="I20" s="119">
        <v>3.7403828542327791</v>
      </c>
      <c r="J20" s="119">
        <v>250.89666326963902</v>
      </c>
      <c r="K20" s="119">
        <v>40.768697355207941</v>
      </c>
      <c r="L20" s="121">
        <v>8.1124999999999999E-3</v>
      </c>
      <c r="M20" s="121">
        <v>1.726888200533798E-4</v>
      </c>
      <c r="N20" s="122">
        <v>1.9625000000000001</v>
      </c>
      <c r="O20" s="122">
        <v>3.5355339059327355E-2</v>
      </c>
      <c r="P20" s="122">
        <v>2.0627174668723538</v>
      </c>
      <c r="Q20" s="122">
        <v>0.1455008930296551</v>
      </c>
      <c r="R20" s="120"/>
    </row>
    <row r="21" spans="1:18" ht="18.75" thickBot="1">
      <c r="A21" s="43">
        <v>17.100000000000001</v>
      </c>
      <c r="B21" s="15" t="s">
        <v>38</v>
      </c>
      <c r="C21" s="118">
        <v>0.8</v>
      </c>
      <c r="D21" s="118">
        <v>5</v>
      </c>
      <c r="E21" s="118">
        <v>40</v>
      </c>
      <c r="F21" s="100" t="s">
        <v>85</v>
      </c>
      <c r="G21" s="123">
        <v>0.05</v>
      </c>
      <c r="H21" s="124">
        <v>46.306726572891989</v>
      </c>
      <c r="I21" s="124">
        <v>5.7961847371784847</v>
      </c>
      <c r="J21" s="124">
        <v>282.98280636942667</v>
      </c>
      <c r="K21" s="124">
        <v>41.634976387407121</v>
      </c>
      <c r="L21" s="125">
        <v>9.6624999999999992E-3</v>
      </c>
      <c r="M21" s="125">
        <v>6.6319034113249023E-4</v>
      </c>
      <c r="N21" s="126">
        <v>2.0699999999999998</v>
      </c>
      <c r="O21" s="126">
        <v>5.1823877563477345E-2</v>
      </c>
      <c r="P21" s="126">
        <v>2.0886683363145018</v>
      </c>
      <c r="Q21" s="126">
        <v>0.22547158627625216</v>
      </c>
      <c r="R21" s="127"/>
    </row>
    <row r="22" spans="1:18" ht="18.75" thickBot="1">
      <c r="A22" s="43">
        <v>18</v>
      </c>
      <c r="B22" s="16" t="s">
        <v>38</v>
      </c>
      <c r="C22" s="128">
        <v>0.4</v>
      </c>
      <c r="D22" s="128">
        <v>5</v>
      </c>
      <c r="E22" s="128">
        <v>38</v>
      </c>
      <c r="F22" s="129" t="s">
        <v>85</v>
      </c>
      <c r="G22" s="123">
        <v>0.05</v>
      </c>
      <c r="H22" s="130">
        <v>51.084681596752631</v>
      </c>
      <c r="I22" s="130">
        <v>3.2722928006979251</v>
      </c>
      <c r="J22" s="130">
        <v>141.12016050955415</v>
      </c>
      <c r="K22" s="130">
        <v>16.002452561523278</v>
      </c>
      <c r="L22" s="131">
        <v>4.6500000000000005E-3</v>
      </c>
      <c r="M22" s="131">
        <v>1.5118578920369097E-4</v>
      </c>
      <c r="N22" s="132">
        <v>1.6737500000000001</v>
      </c>
      <c r="O22" s="132">
        <v>4.8384619752266572E-2</v>
      </c>
      <c r="P22" s="132">
        <v>1.9028058858863228</v>
      </c>
      <c r="Q22" s="132">
        <v>0.1272921899471493</v>
      </c>
      <c r="R22" s="133"/>
    </row>
    <row r="25" spans="1:18">
      <c r="A25">
        <v>15</v>
      </c>
      <c r="B25" t="s">
        <v>80</v>
      </c>
    </row>
    <row r="26" spans="1:18">
      <c r="A26">
        <v>20</v>
      </c>
      <c r="B26" t="s">
        <v>35</v>
      </c>
    </row>
    <row r="27" spans="1:18">
      <c r="A27">
        <v>22</v>
      </c>
      <c r="B27" t="s">
        <v>38</v>
      </c>
    </row>
    <row r="30" spans="1:18">
      <c r="B30" t="s">
        <v>86</v>
      </c>
    </row>
    <row r="31" spans="1:18">
      <c r="B31" t="s">
        <v>87</v>
      </c>
    </row>
    <row r="32" spans="1:18">
      <c r="B32" t="s">
        <v>88</v>
      </c>
    </row>
    <row r="33" spans="2:2">
      <c r="B33" t="s">
        <v>89</v>
      </c>
    </row>
    <row r="34" spans="2:2">
      <c r="B34" t="s">
        <v>90</v>
      </c>
    </row>
  </sheetData>
  <autoFilter ref="A3:K11"/>
  <mergeCells count="12">
    <mergeCell ref="B2:B3"/>
    <mergeCell ref="C2:C3"/>
    <mergeCell ref="D2:D3"/>
    <mergeCell ref="E2:E3"/>
    <mergeCell ref="F2:F3"/>
    <mergeCell ref="R2:R3"/>
    <mergeCell ref="H2:I2"/>
    <mergeCell ref="J2:K2"/>
    <mergeCell ref="G2:G3"/>
    <mergeCell ref="N2:O2"/>
    <mergeCell ref="P2:Q2"/>
    <mergeCell ref="L2:M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AN260"/>
  <sheetViews>
    <sheetView topLeftCell="B1" zoomScale="104" zoomScaleNormal="115" workbookViewId="0">
      <selection activeCell="R15" sqref="R15"/>
    </sheetView>
  </sheetViews>
  <sheetFormatPr defaultRowHeight="14.25"/>
  <cols>
    <col min="2" max="2" width="10.625" customWidth="1"/>
    <col min="3" max="4" width="8.75" style="19"/>
    <col min="5" max="5" width="14.625" customWidth="1"/>
    <col min="6" max="6" width="14.75" customWidth="1"/>
    <col min="7" max="7" width="15.875" customWidth="1"/>
    <col min="8" max="8" width="16.875" customWidth="1"/>
    <col min="9" max="9" width="19.125" customWidth="1"/>
    <col min="10" max="10" width="21.125" customWidth="1"/>
    <col min="11" max="11" width="20.375" customWidth="1"/>
    <col min="12" max="12" width="22.625" customWidth="1"/>
    <col min="13" max="13" width="20.75" customWidth="1"/>
    <col min="15" max="15" width="10.125" customWidth="1"/>
    <col min="16" max="16" width="10.75" customWidth="1"/>
    <col min="20" max="20" width="13.875" customWidth="1"/>
    <col min="21" max="21" width="16.375" customWidth="1"/>
    <col min="22" max="22" width="16.125" customWidth="1"/>
    <col min="23" max="23" width="16.875" customWidth="1"/>
    <col min="24" max="24" width="20.375" customWidth="1"/>
    <col min="25" max="25" width="17.75" customWidth="1"/>
    <col min="26" max="26" width="16.875" customWidth="1"/>
  </cols>
  <sheetData>
    <row r="1" spans="3:40">
      <c r="R1" s="29"/>
      <c r="S1" s="29"/>
      <c r="T1" s="29"/>
      <c r="U1" s="29"/>
      <c r="V1" s="29"/>
      <c r="W1" s="29"/>
      <c r="X1" s="29"/>
      <c r="Y1" s="29"/>
      <c r="Z1" s="29"/>
      <c r="AA1" s="29" t="s">
        <v>91</v>
      </c>
      <c r="AB1" s="29"/>
      <c r="AC1" s="29"/>
      <c r="AD1" s="29"/>
      <c r="AE1" s="29"/>
      <c r="AF1" s="29"/>
      <c r="AG1" s="29"/>
      <c r="AH1" s="29"/>
      <c r="AI1" s="29"/>
      <c r="AJ1" s="29"/>
      <c r="AK1" s="29"/>
      <c r="AL1" s="29"/>
      <c r="AM1" s="29"/>
      <c r="AN1" s="29"/>
    </row>
    <row r="2" spans="3:40">
      <c r="E2" s="29"/>
      <c r="F2" s="29"/>
      <c r="G2" s="29"/>
      <c r="H2" s="29"/>
      <c r="I2" s="29"/>
      <c r="J2" s="35" t="s">
        <v>92</v>
      </c>
      <c r="K2" s="35"/>
      <c r="L2" s="34">
        <v>3.89</v>
      </c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</row>
    <row r="3" spans="3:40"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</row>
    <row r="4" spans="3:40"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</row>
    <row r="5" spans="3:40">
      <c r="C5" s="52" t="s">
        <v>93</v>
      </c>
      <c r="D5" s="52">
        <v>1</v>
      </c>
      <c r="E5" s="33"/>
      <c r="F5" s="47" t="s">
        <v>71</v>
      </c>
      <c r="G5" s="47" t="s">
        <v>72</v>
      </c>
      <c r="H5" s="47" t="s">
        <v>94</v>
      </c>
      <c r="I5" s="47" t="s">
        <v>95</v>
      </c>
      <c r="J5" s="47" t="s">
        <v>73</v>
      </c>
      <c r="K5" s="47" t="s">
        <v>96</v>
      </c>
      <c r="L5" s="47" t="s">
        <v>97</v>
      </c>
      <c r="M5" s="47" t="s">
        <v>98</v>
      </c>
      <c r="N5" s="29"/>
      <c r="O5" s="29"/>
      <c r="P5" s="29" t="s">
        <v>99</v>
      </c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</row>
    <row r="6" spans="3:40">
      <c r="E6" s="47">
        <v>1</v>
      </c>
      <c r="F6" s="2">
        <v>1.8100000000000002E-2</v>
      </c>
      <c r="G6" s="33">
        <f>H6*2</f>
        <v>2.66</v>
      </c>
      <c r="H6">
        <v>1.33</v>
      </c>
      <c r="I6" s="32">
        <f>(4/3)*3.14159*((H6/10)^3)</f>
        <v>9.854694497106669E-3</v>
      </c>
      <c r="J6" s="31">
        <f>F6/I6</f>
        <v>1.8366880886377703</v>
      </c>
      <c r="K6" s="30">
        <f>(1-(J6/3.89))*100</f>
        <v>52.784367901342662</v>
      </c>
      <c r="L6" s="2">
        <v>405.3</v>
      </c>
      <c r="M6" s="33">
        <f>2.8*(L6)/3.14*(H6^2)</f>
        <v>639.30524713375792</v>
      </c>
      <c r="N6" s="29"/>
      <c r="O6">
        <v>1</v>
      </c>
      <c r="P6">
        <v>405.3</v>
      </c>
      <c r="Q6" t="s">
        <v>100</v>
      </c>
      <c r="T6" s="29"/>
      <c r="U6" s="29"/>
      <c r="V6" s="29"/>
      <c r="W6" s="29"/>
      <c r="X6" s="29"/>
      <c r="Y6" s="29"/>
      <c r="Z6" s="29"/>
      <c r="AA6" s="29"/>
    </row>
    <row r="7" spans="3:40">
      <c r="E7" s="47">
        <v>2</v>
      </c>
      <c r="F7" s="2">
        <v>1.3899999999999999E-2</v>
      </c>
      <c r="G7" s="33">
        <f t="shared" ref="G7:G13" si="0">H7*2</f>
        <v>2.42</v>
      </c>
      <c r="H7">
        <v>1.21</v>
      </c>
      <c r="I7" s="32">
        <f t="shared" ref="I7:I12" si="1">(4/3)*3.14159*((H7/10)^3)</f>
        <v>7.4206910959866649E-3</v>
      </c>
      <c r="J7" s="31">
        <f t="shared" ref="J7:J12" si="2">F7/I7</f>
        <v>1.8731409002481645</v>
      </c>
      <c r="K7" s="30">
        <f t="shared" ref="K7:K13" si="3">(1-(J7/3.89))*100</f>
        <v>51.847277628581892</v>
      </c>
      <c r="L7" s="2">
        <v>369</v>
      </c>
      <c r="M7" s="33">
        <f t="shared" ref="M7:M13" si="4">2.8*(L7)/3.14*(H7^2)</f>
        <v>481.75417834394904</v>
      </c>
      <c r="N7" s="29"/>
      <c r="O7">
        <v>2</v>
      </c>
      <c r="P7">
        <v>369</v>
      </c>
      <c r="Q7" t="s">
        <v>100</v>
      </c>
      <c r="T7" s="29"/>
      <c r="U7" s="29"/>
      <c r="V7" s="29"/>
      <c r="W7" s="29"/>
      <c r="X7" s="29"/>
      <c r="Y7" s="29"/>
      <c r="Z7" s="29"/>
      <c r="AA7" s="29"/>
    </row>
    <row r="8" spans="3:40">
      <c r="E8" s="47">
        <v>3</v>
      </c>
      <c r="F8" s="2">
        <v>1.8200000000000001E-2</v>
      </c>
      <c r="G8" s="33">
        <f t="shared" si="0"/>
        <v>2.58</v>
      </c>
      <c r="H8">
        <v>1.29</v>
      </c>
      <c r="I8" s="32">
        <f t="shared" si="1"/>
        <v>8.992022260679999E-3</v>
      </c>
      <c r="J8" s="31">
        <f t="shared" si="2"/>
        <v>2.0240163416392245</v>
      </c>
      <c r="K8" s="30">
        <f t="shared" si="3"/>
        <v>47.968731577397826</v>
      </c>
      <c r="L8" s="2">
        <v>116</v>
      </c>
      <c r="M8" s="33"/>
      <c r="N8" s="29"/>
      <c r="O8">
        <v>3</v>
      </c>
      <c r="P8">
        <v>116</v>
      </c>
      <c r="Q8" t="s">
        <v>100</v>
      </c>
      <c r="R8" t="s">
        <v>101</v>
      </c>
      <c r="T8" s="29"/>
      <c r="U8" s="29"/>
      <c r="V8" s="29"/>
      <c r="W8" s="29"/>
      <c r="X8" s="29"/>
      <c r="Y8" s="29"/>
      <c r="Z8" s="29"/>
      <c r="AA8" s="29"/>
    </row>
    <row r="9" spans="3:40">
      <c r="E9" s="47">
        <v>4</v>
      </c>
      <c r="F9" s="2">
        <v>1.7100000000000001E-2</v>
      </c>
      <c r="G9" s="33">
        <f t="shared" si="0"/>
        <v>2.58</v>
      </c>
      <c r="H9">
        <v>1.29</v>
      </c>
      <c r="I9" s="32">
        <f t="shared" si="1"/>
        <v>8.992022260679999E-3</v>
      </c>
      <c r="J9" s="31">
        <f t="shared" si="2"/>
        <v>1.9016856836280627</v>
      </c>
      <c r="K9" s="30">
        <f t="shared" si="3"/>
        <v>51.113478569972685</v>
      </c>
      <c r="L9" s="2">
        <v>396.7</v>
      </c>
      <c r="M9" s="33">
        <f>2.8*(L9)/3.14*(H9^2)</f>
        <v>588.66742547770707</v>
      </c>
      <c r="N9" s="29"/>
      <c r="O9">
        <v>4</v>
      </c>
      <c r="P9">
        <v>396.7</v>
      </c>
      <c r="Q9" t="s">
        <v>100</v>
      </c>
      <c r="T9" s="29"/>
      <c r="U9" s="29"/>
      <c r="V9" s="29"/>
      <c r="W9" s="29"/>
      <c r="X9" s="29"/>
      <c r="Y9" s="29"/>
      <c r="Z9" s="29"/>
      <c r="AA9" s="29"/>
    </row>
    <row r="10" spans="3:40">
      <c r="E10" s="47">
        <v>5</v>
      </c>
      <c r="F10" s="2">
        <v>1.8800000000000001E-2</v>
      </c>
      <c r="G10" s="33">
        <f t="shared" si="0"/>
        <v>2.78</v>
      </c>
      <c r="H10">
        <v>1.39</v>
      </c>
      <c r="I10" s="32">
        <f t="shared" si="1"/>
        <v>1.124948505894666E-2</v>
      </c>
      <c r="J10" s="31">
        <f t="shared" si="2"/>
        <v>1.6711876056094188</v>
      </c>
      <c r="K10" s="30">
        <f t="shared" si="3"/>
        <v>57.038879033176904</v>
      </c>
      <c r="L10" s="2">
        <v>465</v>
      </c>
      <c r="M10" s="33">
        <f>2.8*(L10)/3.14*(H10^2)</f>
        <v>801.14464968152856</v>
      </c>
      <c r="N10" s="29"/>
      <c r="O10">
        <v>5</v>
      </c>
      <c r="P10">
        <v>465</v>
      </c>
      <c r="Q10" t="s">
        <v>100</v>
      </c>
      <c r="T10" s="29"/>
      <c r="U10" s="29"/>
      <c r="V10" s="29"/>
      <c r="W10" s="29"/>
      <c r="X10" s="29"/>
      <c r="Y10" s="29"/>
      <c r="Z10" s="29"/>
      <c r="AA10" s="29"/>
    </row>
    <row r="11" spans="3:40">
      <c r="E11" s="47">
        <v>6</v>
      </c>
      <c r="F11" s="2">
        <v>1.78E-2</v>
      </c>
      <c r="G11" s="33">
        <f t="shared" si="0"/>
        <v>2.56</v>
      </c>
      <c r="H11">
        <v>1.28</v>
      </c>
      <c r="I11" s="32">
        <f t="shared" si="1"/>
        <v>8.7845223355733325E-3</v>
      </c>
      <c r="J11" s="31">
        <f t="shared" si="2"/>
        <v>2.026291165305377</v>
      </c>
      <c r="K11" s="30">
        <f t="shared" si="3"/>
        <v>47.91025281991319</v>
      </c>
      <c r="L11" s="2">
        <v>482.7</v>
      </c>
      <c r="M11" s="33">
        <f>2.8*(L11)/3.14*(H11^2)</f>
        <v>705.22162547770699</v>
      </c>
      <c r="N11" s="29"/>
      <c r="O11">
        <v>6</v>
      </c>
      <c r="P11">
        <v>482.7</v>
      </c>
      <c r="Q11" t="s">
        <v>100</v>
      </c>
      <c r="T11" s="29"/>
      <c r="U11" s="29"/>
      <c r="V11" s="29"/>
      <c r="W11" s="29"/>
      <c r="X11" s="29"/>
      <c r="Y11" s="29"/>
      <c r="Z11" s="29"/>
      <c r="AA11" s="29"/>
    </row>
    <row r="12" spans="3:40">
      <c r="E12" s="47">
        <v>7</v>
      </c>
      <c r="F12" s="2">
        <v>1.8499999999999999E-2</v>
      </c>
      <c r="G12" s="33">
        <f t="shared" si="0"/>
        <v>2.6</v>
      </c>
      <c r="H12">
        <v>1.3</v>
      </c>
      <c r="I12" s="32">
        <f t="shared" si="1"/>
        <v>9.2027643066666664E-3</v>
      </c>
      <c r="J12" s="31">
        <f t="shared" si="2"/>
        <v>2.0102655445166873</v>
      </c>
      <c r="K12" s="30">
        <f t="shared" si="3"/>
        <v>48.322222505997757</v>
      </c>
      <c r="L12" s="2">
        <v>372</v>
      </c>
      <c r="M12" s="33">
        <f t="shared" si="4"/>
        <v>560.6063694267516</v>
      </c>
      <c r="N12" s="29"/>
      <c r="O12">
        <v>7</v>
      </c>
      <c r="P12">
        <v>372</v>
      </c>
      <c r="Q12" t="s">
        <v>100</v>
      </c>
      <c r="T12" s="29"/>
      <c r="U12" s="29"/>
      <c r="V12" s="29"/>
      <c r="W12" s="29"/>
      <c r="X12" s="29"/>
      <c r="Y12" s="29"/>
      <c r="Z12" s="29"/>
      <c r="AA12" s="29"/>
    </row>
    <row r="13" spans="3:40" ht="15" thickBot="1">
      <c r="E13" s="47">
        <v>8</v>
      </c>
      <c r="F13" s="13">
        <v>1.9099999999999999E-2</v>
      </c>
      <c r="G13" s="38">
        <f t="shared" si="0"/>
        <v>2.66</v>
      </c>
      <c r="H13">
        <v>1.33</v>
      </c>
      <c r="I13" s="50">
        <f>(4/3)*3.14159*((H13/10)^3)</f>
        <v>9.854694497106669E-3</v>
      </c>
      <c r="J13" s="36">
        <f>F13/I13</f>
        <v>1.938162568673006</v>
      </c>
      <c r="K13" s="37">
        <f t="shared" si="3"/>
        <v>50.175769442853316</v>
      </c>
      <c r="L13" s="13">
        <v>330</v>
      </c>
      <c r="M13" s="38">
        <f t="shared" si="4"/>
        <v>520.52980891719733</v>
      </c>
      <c r="N13" s="29"/>
      <c r="O13">
        <v>8</v>
      </c>
      <c r="P13">
        <v>330</v>
      </c>
      <c r="Q13" t="s">
        <v>100</v>
      </c>
      <c r="T13" s="29"/>
      <c r="U13" s="29"/>
      <c r="V13" s="29"/>
      <c r="W13" s="29"/>
      <c r="X13" s="29"/>
      <c r="Y13" s="29"/>
      <c r="Z13" s="29"/>
      <c r="AA13" s="29"/>
    </row>
    <row r="14" spans="3:40">
      <c r="E14" s="39" t="s">
        <v>102</v>
      </c>
      <c r="F14" s="80">
        <f>AVERAGE(F6:F13)</f>
        <v>1.7687499999999998E-2</v>
      </c>
      <c r="G14" s="51">
        <f>AVERAGE(G6:G13)</f>
        <v>2.605</v>
      </c>
      <c r="H14" s="51">
        <f t="shared" ref="H14:M14" si="5">AVERAGE(H6:H13)</f>
        <v>1.3025</v>
      </c>
      <c r="I14" s="51">
        <f t="shared" si="5"/>
        <v>9.2938620390933344E-3</v>
      </c>
      <c r="J14" s="51">
        <f t="shared" si="5"/>
        <v>1.910179737282214</v>
      </c>
      <c r="K14" s="51">
        <f t="shared" si="5"/>
        <v>50.895122434904529</v>
      </c>
      <c r="L14" s="51">
        <f t="shared" si="5"/>
        <v>367.08749999999998</v>
      </c>
      <c r="M14" s="51">
        <f t="shared" si="5"/>
        <v>613.88990063694268</v>
      </c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</row>
    <row r="15" spans="3:40" ht="15" thickBot="1">
      <c r="E15" s="40" t="s">
        <v>76</v>
      </c>
      <c r="F15" s="80">
        <f>STDEV(F6:F13)</f>
        <v>1.6487549415067292E-3</v>
      </c>
      <c r="G15" s="51">
        <f>STDEV(G6:G13)</f>
        <v>0.10295630140986999</v>
      </c>
      <c r="H15" s="51">
        <f t="shared" ref="H15:L15" si="6">STDEV(H6:H13)</f>
        <v>5.1478150704934993E-2</v>
      </c>
      <c r="I15" s="51">
        <f t="shared" si="6"/>
        <v>1.0962427457914261E-3</v>
      </c>
      <c r="J15" s="51">
        <f t="shared" si="6"/>
        <v>0.12023971871095902</v>
      </c>
      <c r="K15" s="51">
        <f t="shared" si="6"/>
        <v>3.0909953396133454</v>
      </c>
      <c r="L15" s="51">
        <f t="shared" si="6"/>
        <v>113.22443498896982</v>
      </c>
      <c r="M15" s="51">
        <f>STDEV(M6:M13)</f>
        <v>110.8324776580173</v>
      </c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</row>
    <row r="16" spans="3:40"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</row>
    <row r="17" spans="3:27"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</row>
    <row r="18" spans="3:27">
      <c r="C18" s="52" t="s">
        <v>93</v>
      </c>
      <c r="D18" s="53">
        <v>2</v>
      </c>
      <c r="E18" s="33"/>
      <c r="F18" s="47" t="s">
        <v>71</v>
      </c>
      <c r="G18" s="47" t="s">
        <v>72</v>
      </c>
      <c r="H18" s="47" t="s">
        <v>94</v>
      </c>
      <c r="I18" s="47" t="s">
        <v>95</v>
      </c>
      <c r="J18" s="47" t="s">
        <v>73</v>
      </c>
      <c r="K18" s="47" t="s">
        <v>96</v>
      </c>
      <c r="L18" s="47" t="s">
        <v>97</v>
      </c>
      <c r="M18" s="47" t="s">
        <v>98</v>
      </c>
      <c r="N18" s="29"/>
      <c r="O18" s="29"/>
      <c r="P18" s="29" t="s">
        <v>99</v>
      </c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</row>
    <row r="19" spans="3:27">
      <c r="E19" s="47">
        <v>1</v>
      </c>
      <c r="F19" s="2">
        <v>1.2999999999999999E-2</v>
      </c>
      <c r="G19" s="33">
        <f>H19*2</f>
        <v>2.16</v>
      </c>
      <c r="H19" s="2">
        <v>1.08</v>
      </c>
      <c r="I19" s="32">
        <f>(4/3)*3.14159*((H19/10)^3)</f>
        <v>5.2766648294400014E-3</v>
      </c>
      <c r="J19" s="31">
        <f>F19/I19</f>
        <v>2.4636774212887906</v>
      </c>
      <c r="K19" s="30">
        <f>(1-(J19/3.89))*100</f>
        <v>36.666390198231603</v>
      </c>
      <c r="L19" s="2">
        <v>191</v>
      </c>
      <c r="M19" s="33">
        <f>2.8*(L19)/3.14*(H19^2)</f>
        <v>198.65946496815286</v>
      </c>
      <c r="N19" s="29"/>
      <c r="O19">
        <v>1</v>
      </c>
      <c r="P19">
        <v>191</v>
      </c>
      <c r="Q19" t="s">
        <v>100</v>
      </c>
      <c r="T19" s="29"/>
      <c r="U19" s="29"/>
      <c r="V19" s="29"/>
      <c r="W19" s="29"/>
      <c r="X19" s="29"/>
      <c r="Y19" s="29"/>
      <c r="Z19" s="29"/>
      <c r="AA19" s="29"/>
    </row>
    <row r="20" spans="3:27">
      <c r="E20" s="47">
        <v>2</v>
      </c>
      <c r="F20" s="2">
        <v>1.14E-2</v>
      </c>
      <c r="G20" s="33">
        <f t="shared" ref="G20:G26" si="7">H20*2</f>
        <v>2.1800000000000002</v>
      </c>
      <c r="H20" s="2">
        <v>1.0900000000000001</v>
      </c>
      <c r="I20" s="32">
        <f t="shared" ref="I20:I25" si="8">(4/3)*3.14159*((H20/10)^3)</f>
        <v>5.4246002081466682E-3</v>
      </c>
      <c r="J20" s="31">
        <f t="shared" ref="J20:J26" si="9">F20/I20</f>
        <v>2.1015373599107772</v>
      </c>
      <c r="K20" s="30">
        <f t="shared" ref="K20:K26" si="10">(1-(J20/3.89))*100</f>
        <v>45.975903344195956</v>
      </c>
      <c r="L20" s="2">
        <v>192</v>
      </c>
      <c r="M20" s="33">
        <f t="shared" ref="M20:M25" si="11">2.8*(L20)/3.14*(H20^2)</f>
        <v>203.41482802547768</v>
      </c>
      <c r="N20" s="29"/>
      <c r="O20">
        <v>2</v>
      </c>
      <c r="P20">
        <v>192</v>
      </c>
      <c r="Q20" t="s">
        <v>100</v>
      </c>
      <c r="R20" t="s">
        <v>103</v>
      </c>
      <c r="T20" s="29"/>
      <c r="U20" s="29"/>
      <c r="V20" s="29"/>
      <c r="W20" s="29"/>
      <c r="X20" s="29"/>
      <c r="Y20" s="29"/>
      <c r="Z20" s="29"/>
      <c r="AA20" s="29"/>
    </row>
    <row r="21" spans="3:27">
      <c r="E21" s="47">
        <v>3</v>
      </c>
      <c r="F21" s="2">
        <v>1.6299999999999999E-2</v>
      </c>
      <c r="G21" s="33">
        <f t="shared" si="7"/>
        <v>2.2999999999999998</v>
      </c>
      <c r="H21" s="2">
        <v>1.1499999999999999</v>
      </c>
      <c r="I21" s="32">
        <f t="shared" si="8"/>
        <v>6.3706209216666644E-3</v>
      </c>
      <c r="J21" s="31">
        <f t="shared" si="9"/>
        <v>2.5586202978367822</v>
      </c>
      <c r="K21" s="30">
        <f t="shared" si="10"/>
        <v>34.225699284401486</v>
      </c>
      <c r="L21" s="2">
        <v>253.7</v>
      </c>
      <c r="M21" s="33">
        <f t="shared" si="11"/>
        <v>299.18824840764324</v>
      </c>
      <c r="N21" s="29"/>
      <c r="O21">
        <v>3</v>
      </c>
      <c r="P21">
        <v>253.7</v>
      </c>
      <c r="Q21" t="s">
        <v>100</v>
      </c>
      <c r="T21" s="29"/>
      <c r="U21" s="29"/>
      <c r="V21" s="29"/>
      <c r="W21" s="29"/>
      <c r="X21" s="29"/>
      <c r="Y21" s="29"/>
      <c r="Z21" s="29"/>
      <c r="AA21" s="29"/>
    </row>
    <row r="22" spans="3:27">
      <c r="E22" s="47">
        <v>4</v>
      </c>
      <c r="F22" s="2">
        <v>1.3100000000000001E-2</v>
      </c>
      <c r="G22" s="33">
        <f t="shared" si="7"/>
        <v>2.48</v>
      </c>
      <c r="H22" s="2">
        <v>1.24</v>
      </c>
      <c r="I22" s="32">
        <f t="shared" si="8"/>
        <v>7.9864411895466652E-3</v>
      </c>
      <c r="J22" s="31">
        <f t="shared" si="9"/>
        <v>1.640280030753422</v>
      </c>
      <c r="K22" s="30">
        <f t="shared" si="10"/>
        <v>57.83341823255985</v>
      </c>
      <c r="L22" s="2">
        <v>244</v>
      </c>
      <c r="M22" s="33">
        <f t="shared" si="11"/>
        <v>334.55042038216556</v>
      </c>
      <c r="N22" s="29"/>
      <c r="O22">
        <v>4</v>
      </c>
      <c r="P22">
        <v>244</v>
      </c>
      <c r="Q22" t="s">
        <v>100</v>
      </c>
      <c r="T22" s="29"/>
      <c r="U22" s="29"/>
      <c r="V22" s="29"/>
      <c r="W22" s="29"/>
      <c r="X22" s="29"/>
      <c r="Y22" s="29"/>
      <c r="Z22" s="29"/>
      <c r="AA22" s="29"/>
    </row>
    <row r="23" spans="3:27">
      <c r="E23" s="47">
        <v>5</v>
      </c>
      <c r="F23" s="2">
        <v>1.3100000000000001E-2</v>
      </c>
      <c r="G23" s="33">
        <f t="shared" si="7"/>
        <v>2.1800000000000002</v>
      </c>
      <c r="H23" s="2">
        <v>1.0900000000000001</v>
      </c>
      <c r="I23" s="32">
        <f t="shared" si="8"/>
        <v>5.4246002081466682E-3</v>
      </c>
      <c r="J23" s="31">
        <f t="shared" si="9"/>
        <v>2.4149245100729102</v>
      </c>
      <c r="K23" s="30">
        <f t="shared" si="10"/>
        <v>37.919678404295368</v>
      </c>
      <c r="L23" s="2">
        <v>175.7</v>
      </c>
      <c r="M23" s="33">
        <f t="shared" si="11"/>
        <v>186.14575668789809</v>
      </c>
      <c r="N23" s="29"/>
      <c r="O23">
        <v>5</v>
      </c>
      <c r="P23">
        <v>175.7</v>
      </c>
      <c r="Q23" t="s">
        <v>100</v>
      </c>
      <c r="R23" t="s">
        <v>103</v>
      </c>
    </row>
    <row r="24" spans="3:27">
      <c r="E24" s="47">
        <v>6</v>
      </c>
      <c r="F24" s="2">
        <v>1.3899999999999999E-2</v>
      </c>
      <c r="G24" s="33">
        <f t="shared" si="7"/>
        <v>2.16</v>
      </c>
      <c r="H24" s="2">
        <v>1.08</v>
      </c>
      <c r="I24" s="32">
        <f t="shared" si="8"/>
        <v>5.2766648294400014E-3</v>
      </c>
      <c r="J24" s="31">
        <f t="shared" si="9"/>
        <v>2.6342397043010917</v>
      </c>
      <c r="K24" s="30">
        <f t="shared" si="10"/>
        <v>32.281755673493798</v>
      </c>
      <c r="L24" s="2">
        <v>299.7</v>
      </c>
      <c r="M24" s="33">
        <f t="shared" si="11"/>
        <v>311.71854267515926</v>
      </c>
      <c r="N24" s="29"/>
      <c r="O24">
        <v>6</v>
      </c>
      <c r="P24">
        <v>299.7</v>
      </c>
      <c r="Q24" t="s">
        <v>100</v>
      </c>
    </row>
    <row r="25" spans="3:27">
      <c r="E25" s="47">
        <v>7</v>
      </c>
      <c r="F25" s="2">
        <v>1.5100000000000001E-2</v>
      </c>
      <c r="G25" s="33">
        <f t="shared" si="7"/>
        <v>2.2800000000000002</v>
      </c>
      <c r="H25" s="2">
        <v>1.1400000000000001</v>
      </c>
      <c r="I25" s="32">
        <f t="shared" si="8"/>
        <v>6.2058717532800017E-3</v>
      </c>
      <c r="J25" s="31">
        <f t="shared" si="9"/>
        <v>2.4331795113263768</v>
      </c>
      <c r="K25" s="30">
        <f t="shared" si="10"/>
        <v>37.450398166417052</v>
      </c>
      <c r="L25" s="2">
        <v>448.3</v>
      </c>
      <c r="M25" s="33">
        <f t="shared" si="11"/>
        <v>519.52544713375812</v>
      </c>
      <c r="N25" s="29"/>
      <c r="O25">
        <v>7</v>
      </c>
      <c r="P25">
        <v>448.3</v>
      </c>
      <c r="Q25" t="s">
        <v>100</v>
      </c>
    </row>
    <row r="26" spans="3:27">
      <c r="E26" s="47">
        <v>8</v>
      </c>
      <c r="F26" s="2">
        <v>1.41E-2</v>
      </c>
      <c r="G26" s="33">
        <f t="shared" si="7"/>
        <v>2.2599999999999998</v>
      </c>
      <c r="H26" s="2">
        <v>1.1299999999999999</v>
      </c>
      <c r="I26" s="32">
        <f>(4/3)*3.14159*((H26/10)^3)</f>
        <v>6.0439877149733312E-3</v>
      </c>
      <c r="J26" s="31">
        <f t="shared" si="9"/>
        <v>2.3328968662640994</v>
      </c>
      <c r="K26" s="30">
        <f t="shared" si="10"/>
        <v>40.028358193724955</v>
      </c>
      <c r="L26" s="2">
        <v>264.7</v>
      </c>
      <c r="M26" s="33">
        <f>2.8*(L26)/3.14*(H26^2)</f>
        <v>301.39719872611454</v>
      </c>
      <c r="N26" s="29"/>
      <c r="O26">
        <v>8</v>
      </c>
      <c r="P26">
        <v>264.7</v>
      </c>
      <c r="Q26" t="s">
        <v>100</v>
      </c>
    </row>
    <row r="27" spans="3:27">
      <c r="E27" s="33" t="s">
        <v>102</v>
      </c>
      <c r="F27" s="80">
        <f>AVERAGE(F19:F26)</f>
        <v>1.375E-2</v>
      </c>
      <c r="G27" s="51">
        <f>AVERAGE(G19:G26)</f>
        <v>2.25</v>
      </c>
      <c r="H27" s="51">
        <f t="shared" ref="H27:M27" si="12">AVERAGE(H19:H26)</f>
        <v>1.125</v>
      </c>
      <c r="I27" s="51">
        <f t="shared" si="12"/>
        <v>6.0011814568300004E-3</v>
      </c>
      <c r="J27" s="51">
        <f t="shared" si="12"/>
        <v>2.3224194627192811</v>
      </c>
      <c r="K27" s="51">
        <f t="shared" si="12"/>
        <v>40.297700187165006</v>
      </c>
      <c r="L27" s="51">
        <f t="shared" si="12"/>
        <v>258.63749999999999</v>
      </c>
      <c r="M27" s="51">
        <f t="shared" si="12"/>
        <v>294.32498837579612</v>
      </c>
      <c r="N27" s="29"/>
      <c r="O27" s="29"/>
    </row>
    <row r="28" spans="3:27">
      <c r="E28" s="33" t="s">
        <v>76</v>
      </c>
      <c r="F28" s="80">
        <f>STDEV(F19:F26)</f>
        <v>1.4832396974191321E-3</v>
      </c>
      <c r="G28" s="51">
        <f>STDEV(G19:G26)</f>
        <v>0.10849621454884291</v>
      </c>
      <c r="H28" s="51">
        <f t="shared" ref="H28:M28" si="13">STDEV(H19:H26)</f>
        <v>5.4248107274421455E-2</v>
      </c>
      <c r="I28" s="51">
        <f t="shared" si="13"/>
        <v>9.1309620656608993E-4</v>
      </c>
      <c r="J28" s="51">
        <f t="shared" si="13"/>
        <v>0.31803287443546108</v>
      </c>
      <c r="K28" s="51">
        <f t="shared" si="13"/>
        <v>8.1756522991120644</v>
      </c>
      <c r="L28" s="51">
        <f t="shared" si="13"/>
        <v>87.690526243472561</v>
      </c>
      <c r="M28" s="51">
        <f t="shared" si="13"/>
        <v>108.11953106618355</v>
      </c>
      <c r="N28" s="29"/>
      <c r="O28" s="29"/>
    </row>
    <row r="29" spans="3:27"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</row>
    <row r="30" spans="3:27">
      <c r="G30" s="29"/>
      <c r="H30" s="29"/>
      <c r="I30" s="29"/>
      <c r="J30" s="29"/>
      <c r="K30" s="29"/>
      <c r="L30" s="29"/>
    </row>
    <row r="31" spans="3:27">
      <c r="E31" s="29"/>
      <c r="F31" s="29"/>
      <c r="G31" s="29"/>
      <c r="H31" s="29"/>
      <c r="I31" s="29"/>
      <c r="J31" s="29"/>
      <c r="K31" s="29"/>
      <c r="L31" s="29"/>
    </row>
    <row r="32" spans="3:27">
      <c r="C32" s="52" t="s">
        <v>93</v>
      </c>
      <c r="D32" s="52">
        <v>3</v>
      </c>
      <c r="E32" s="33"/>
      <c r="F32" s="47" t="s">
        <v>71</v>
      </c>
      <c r="G32" s="47" t="s">
        <v>72</v>
      </c>
      <c r="H32" s="47" t="s">
        <v>94</v>
      </c>
      <c r="I32" s="47" t="s">
        <v>95</v>
      </c>
      <c r="J32" s="47" t="s">
        <v>73</v>
      </c>
      <c r="K32" s="47" t="s">
        <v>96</v>
      </c>
      <c r="L32" s="47" t="s">
        <v>97</v>
      </c>
      <c r="M32" s="47" t="s">
        <v>98</v>
      </c>
      <c r="P32" t="s">
        <v>99</v>
      </c>
    </row>
    <row r="33" spans="3:18">
      <c r="E33" s="47">
        <v>1</v>
      </c>
      <c r="F33" s="2">
        <v>1.2800000000000001E-2</v>
      </c>
      <c r="G33" s="33">
        <f>H33*2</f>
        <v>2.42</v>
      </c>
      <c r="H33" s="2">
        <v>1.21</v>
      </c>
      <c r="I33" s="32">
        <f>(4/3)*3.14159*((H33/10)^3)</f>
        <v>7.4206910959866649E-3</v>
      </c>
      <c r="J33" s="31">
        <f>F33/I33</f>
        <v>1.7249067282860797</v>
      </c>
      <c r="K33" s="30">
        <f>(1-(J33/3.89))*100</f>
        <v>55.657924722722882</v>
      </c>
      <c r="L33" s="2">
        <v>244</v>
      </c>
      <c r="M33" s="33">
        <f>2.8*(L33)/3.14*(H33^2)</f>
        <v>318.55831847133754</v>
      </c>
      <c r="O33">
        <v>1</v>
      </c>
      <c r="P33">
        <v>244</v>
      </c>
      <c r="Q33" t="s">
        <v>100</v>
      </c>
      <c r="R33" t="s">
        <v>103</v>
      </c>
    </row>
    <row r="34" spans="3:18">
      <c r="E34" s="47">
        <v>2</v>
      </c>
      <c r="F34" s="2">
        <v>1.0699999999999999E-2</v>
      </c>
      <c r="G34" s="33">
        <f t="shared" ref="G34:G40" si="14">H34*2</f>
        <v>2.16</v>
      </c>
      <c r="H34" s="2">
        <v>1.08</v>
      </c>
      <c r="I34" s="32">
        <f t="shared" ref="I34:I39" si="15">(4/3)*3.14159*((H34/10)^3)</f>
        <v>5.2766648294400014E-3</v>
      </c>
      <c r="J34" s="31">
        <f>F34/I34</f>
        <v>2.027796031368466</v>
      </c>
      <c r="K34" s="30">
        <f>(1-(J34/3.89))*100</f>
        <v>47.871567317006011</v>
      </c>
      <c r="L34" s="2">
        <v>50.3</v>
      </c>
      <c r="M34" s="33">
        <f t="shared" ref="M34:M39" si="16">2.8*(L34)/3.14*(H34^2)</f>
        <v>52.317126114649675</v>
      </c>
      <c r="O34">
        <v>2</v>
      </c>
      <c r="P34">
        <v>50.3</v>
      </c>
      <c r="Q34" t="s">
        <v>100</v>
      </c>
      <c r="R34" t="s">
        <v>103</v>
      </c>
    </row>
    <row r="35" spans="3:18">
      <c r="E35" s="47">
        <v>3</v>
      </c>
      <c r="F35" s="2">
        <v>1.32E-2</v>
      </c>
      <c r="G35" s="33">
        <f t="shared" si="14"/>
        <v>2.48</v>
      </c>
      <c r="H35" s="2">
        <v>1.24</v>
      </c>
      <c r="I35" s="32">
        <f t="shared" si="15"/>
        <v>7.9864411895466652E-3</v>
      </c>
      <c r="J35" s="31">
        <f t="shared" ref="J35:J40" si="17">F35/I35</f>
        <v>1.6528012523622266</v>
      </c>
      <c r="K35" s="30">
        <f t="shared" ref="K35:K40" si="18">(1-(J35/3.89))*100</f>
        <v>57.511535928991606</v>
      </c>
      <c r="L35" s="2">
        <v>345.3</v>
      </c>
      <c r="M35" s="33">
        <f t="shared" si="16"/>
        <v>473.44368917197448</v>
      </c>
      <c r="O35">
        <v>3</v>
      </c>
      <c r="P35">
        <v>345.3</v>
      </c>
      <c r="Q35" t="s">
        <v>100</v>
      </c>
    </row>
    <row r="36" spans="3:18">
      <c r="E36" s="47">
        <v>4</v>
      </c>
      <c r="F36" s="2">
        <v>1.35E-2</v>
      </c>
      <c r="G36" s="33">
        <f t="shared" si="14"/>
        <v>2.66</v>
      </c>
      <c r="H36" s="2">
        <v>1.33</v>
      </c>
      <c r="I36" s="32">
        <f t="shared" si="15"/>
        <v>9.854694497106669E-3</v>
      </c>
      <c r="J36" s="31">
        <f t="shared" si="17"/>
        <v>1.3699054804756849</v>
      </c>
      <c r="K36" s="30">
        <f t="shared" si="18"/>
        <v>64.78392081039371</v>
      </c>
      <c r="L36" s="2">
        <v>264.3</v>
      </c>
      <c r="M36" s="33">
        <f t="shared" si="16"/>
        <v>416.89705605095543</v>
      </c>
      <c r="O36">
        <v>4</v>
      </c>
      <c r="P36">
        <v>264.3</v>
      </c>
      <c r="Q36" t="s">
        <v>100</v>
      </c>
    </row>
    <row r="37" spans="3:18">
      <c r="E37" s="47">
        <v>5</v>
      </c>
      <c r="F37" s="2">
        <v>1.4500000000000001E-2</v>
      </c>
      <c r="G37" s="33">
        <f t="shared" si="14"/>
        <v>2.86</v>
      </c>
      <c r="H37" s="2">
        <v>1.43</v>
      </c>
      <c r="I37" s="32">
        <f t="shared" si="15"/>
        <v>1.2248879292173328E-2</v>
      </c>
      <c r="J37" s="31">
        <f t="shared" si="17"/>
        <v>1.1837817692648072</v>
      </c>
      <c r="K37" s="30">
        <f t="shared" si="18"/>
        <v>69.568592049747892</v>
      </c>
      <c r="L37" s="2">
        <v>53</v>
      </c>
      <c r="M37" s="33">
        <f t="shared" si="16"/>
        <v>96.644318471337556</v>
      </c>
      <c r="O37">
        <v>5</v>
      </c>
      <c r="P37">
        <v>53</v>
      </c>
      <c r="Q37" t="s">
        <v>100</v>
      </c>
      <c r="R37" t="s">
        <v>103</v>
      </c>
    </row>
    <row r="38" spans="3:18">
      <c r="E38" s="47">
        <v>6</v>
      </c>
      <c r="F38" s="2">
        <v>1.0500000000000001E-2</v>
      </c>
      <c r="G38" s="33">
        <f t="shared" si="14"/>
        <v>2.46</v>
      </c>
      <c r="H38" s="2">
        <v>1.23</v>
      </c>
      <c r="I38" s="32">
        <f t="shared" si="15"/>
        <v>7.7947748780399992E-3</v>
      </c>
      <c r="J38" s="31">
        <f t="shared" si="17"/>
        <v>1.3470562221856279</v>
      </c>
      <c r="K38" s="30">
        <f t="shared" si="18"/>
        <v>65.371305342271782</v>
      </c>
      <c r="L38" s="2">
        <v>74</v>
      </c>
      <c r="M38" s="33">
        <f t="shared" si="16"/>
        <v>99.832127388535014</v>
      </c>
      <c r="O38">
        <v>6</v>
      </c>
      <c r="P38">
        <v>74</v>
      </c>
      <c r="Q38" t="s">
        <v>100</v>
      </c>
      <c r="R38" t="s">
        <v>103</v>
      </c>
    </row>
    <row r="39" spans="3:18">
      <c r="E39" s="47">
        <v>7</v>
      </c>
      <c r="F39" s="2">
        <v>1.2500000000000001E-2</v>
      </c>
      <c r="G39" s="33">
        <f t="shared" si="14"/>
        <v>2.54</v>
      </c>
      <c r="H39" s="2">
        <v>1.27</v>
      </c>
      <c r="I39" s="32">
        <f t="shared" si="15"/>
        <v>8.5802393986266663E-3</v>
      </c>
      <c r="J39" s="31">
        <f t="shared" si="17"/>
        <v>1.4568358083342898</v>
      </c>
      <c r="K39" s="30">
        <f t="shared" si="18"/>
        <v>62.549208011971992</v>
      </c>
      <c r="L39" s="2">
        <v>446.3</v>
      </c>
      <c r="M39" s="33">
        <f t="shared" si="16"/>
        <v>641.89310700636941</v>
      </c>
      <c r="N39" s="29"/>
      <c r="O39">
        <v>7</v>
      </c>
      <c r="P39">
        <v>446.3</v>
      </c>
      <c r="Q39" t="s">
        <v>100</v>
      </c>
    </row>
    <row r="40" spans="3:18">
      <c r="E40" s="47">
        <v>8</v>
      </c>
      <c r="F40" s="2">
        <v>1.03E-2</v>
      </c>
      <c r="G40" s="33">
        <f t="shared" si="14"/>
        <v>2.46</v>
      </c>
      <c r="H40" s="2">
        <v>1.23</v>
      </c>
      <c r="I40" s="32">
        <f>(4/3)*3.14159*((H40/10)^3)</f>
        <v>7.7947748780399992E-3</v>
      </c>
      <c r="J40" s="31">
        <f t="shared" si="17"/>
        <v>1.3213980084297112</v>
      </c>
      <c r="K40" s="30">
        <f t="shared" si="18"/>
        <v>66.030899526228509</v>
      </c>
      <c r="L40" s="2">
        <v>215</v>
      </c>
      <c r="M40" s="33">
        <f t="shared" ref="M40" si="19">2.8*(L40)/3.14*(H40^2)</f>
        <v>290.05280254777068</v>
      </c>
      <c r="N40" s="29"/>
      <c r="O40">
        <v>8</v>
      </c>
      <c r="P40">
        <v>215</v>
      </c>
      <c r="Q40" t="s">
        <v>100</v>
      </c>
    </row>
    <row r="41" spans="3:18">
      <c r="E41" s="33" t="s">
        <v>102</v>
      </c>
      <c r="F41" s="80">
        <f>AVERAGE(F33:F40)</f>
        <v>1.2249999999999999E-2</v>
      </c>
      <c r="G41" s="51">
        <f>AVERAGE(G33:G40)</f>
        <v>2.5049999999999999</v>
      </c>
      <c r="H41" s="51">
        <f t="shared" ref="H41:M41" si="20">AVERAGE(H33:H40)</f>
        <v>1.2524999999999999</v>
      </c>
      <c r="I41" s="51">
        <f t="shared" si="20"/>
        <v>8.3696450073699989E-3</v>
      </c>
      <c r="J41" s="51">
        <f t="shared" si="20"/>
        <v>1.5105601625883616</v>
      </c>
      <c r="K41" s="51">
        <f t="shared" si="20"/>
        <v>61.168119213666799</v>
      </c>
      <c r="L41" s="51">
        <f t="shared" si="20"/>
        <v>211.52500000000001</v>
      </c>
      <c r="M41" s="51">
        <f t="shared" si="20"/>
        <v>298.70481815286621</v>
      </c>
      <c r="N41" s="29"/>
      <c r="O41" s="29"/>
    </row>
    <row r="42" spans="3:18">
      <c r="E42" s="33" t="s">
        <v>76</v>
      </c>
      <c r="F42" s="80">
        <f>STDEV(F33:F40)</f>
        <v>1.5657038581508868E-3</v>
      </c>
      <c r="G42" s="51">
        <f>STDEV(G33:G40)</f>
        <v>0.20078417695198419</v>
      </c>
      <c r="H42" s="51">
        <f t="shared" ref="H42:M42" si="21">STDEV(H33:H40)</f>
        <v>0.1003920884759921</v>
      </c>
      <c r="I42" s="51">
        <f t="shared" si="21"/>
        <v>2.0203612486445967E-3</v>
      </c>
      <c r="J42" s="51">
        <f t="shared" si="21"/>
        <v>0.27403856482402889</v>
      </c>
      <c r="K42" s="51">
        <f t="shared" si="21"/>
        <v>7.044693183136947</v>
      </c>
      <c r="L42" s="51">
        <f t="shared" si="21"/>
        <v>144.86632015166848</v>
      </c>
      <c r="M42" s="51">
        <f t="shared" si="21"/>
        <v>208.33900466404214</v>
      </c>
      <c r="N42" s="29"/>
      <c r="O42" s="29"/>
    </row>
    <row r="43" spans="3:18">
      <c r="G43" s="29"/>
      <c r="H43" s="29"/>
      <c r="I43" s="29"/>
      <c r="J43" s="29"/>
      <c r="K43" s="29"/>
      <c r="L43" s="29"/>
      <c r="M43" s="29"/>
      <c r="N43" s="29"/>
      <c r="O43" s="29"/>
    </row>
    <row r="44" spans="3:18">
      <c r="E44" s="29"/>
      <c r="F44" s="29"/>
      <c r="G44" s="29"/>
      <c r="H44" s="29"/>
      <c r="I44" s="29"/>
      <c r="J44" s="29"/>
      <c r="K44" s="29"/>
      <c r="L44" s="29"/>
      <c r="M44" s="29"/>
      <c r="N44" s="29"/>
      <c r="O44" s="29"/>
    </row>
    <row r="45" spans="3:18">
      <c r="C45" s="52" t="s">
        <v>93</v>
      </c>
      <c r="D45" s="53">
        <v>4</v>
      </c>
      <c r="E45" s="33"/>
      <c r="F45" s="47" t="s">
        <v>71</v>
      </c>
      <c r="G45" s="47" t="s">
        <v>72</v>
      </c>
      <c r="H45" s="47" t="s">
        <v>94</v>
      </c>
      <c r="I45" s="47" t="s">
        <v>95</v>
      </c>
      <c r="J45" s="47" t="s">
        <v>73</v>
      </c>
      <c r="K45" s="47" t="s">
        <v>96</v>
      </c>
      <c r="L45" s="47" t="s">
        <v>97</v>
      </c>
      <c r="M45" s="47" t="s">
        <v>98</v>
      </c>
      <c r="N45" s="29"/>
      <c r="O45" s="29"/>
      <c r="P45" t="s">
        <v>99</v>
      </c>
    </row>
    <row r="46" spans="3:18">
      <c r="E46" s="47">
        <v>1</v>
      </c>
      <c r="F46" s="2">
        <v>1.6299999999999999E-2</v>
      </c>
      <c r="G46" s="33">
        <f>H46*2</f>
        <v>2.46</v>
      </c>
      <c r="H46" s="2">
        <v>1.23</v>
      </c>
      <c r="I46" s="32">
        <f>(4/3)*3.14159*((H46/10)^3)</f>
        <v>7.7947748780399992E-3</v>
      </c>
      <c r="J46" s="31">
        <f>F46/I46</f>
        <v>2.0911444211072125</v>
      </c>
      <c r="K46" s="30">
        <f>(1-(J46/3.89))*100</f>
        <v>46.243074007526673</v>
      </c>
      <c r="L46" s="2">
        <v>283.3</v>
      </c>
      <c r="M46" s="33">
        <f>2.8*(L46)/3.14*(H46^2)</f>
        <v>382.19515796178342</v>
      </c>
      <c r="N46" s="29"/>
      <c r="O46">
        <v>1</v>
      </c>
      <c r="P46">
        <v>283.3</v>
      </c>
      <c r="Q46" t="s">
        <v>100</v>
      </c>
    </row>
    <row r="47" spans="3:18">
      <c r="E47" s="47">
        <v>2</v>
      </c>
      <c r="F47" s="2">
        <v>1.4999999999999999E-2</v>
      </c>
      <c r="G47" s="33">
        <f t="shared" ref="G47:G53" si="22">H47*2</f>
        <v>2.46</v>
      </c>
      <c r="H47" s="2">
        <v>1.23</v>
      </c>
      <c r="I47" s="32">
        <f t="shared" ref="I47:I52" si="23">(4/3)*3.14159*((H47/10)^3)</f>
        <v>7.7947748780399992E-3</v>
      </c>
      <c r="J47" s="31">
        <f t="shared" ref="J47:J53" si="24">F47/I47</f>
        <v>1.9243660316937541</v>
      </c>
      <c r="K47" s="30">
        <f t="shared" ref="K47:K53" si="25">(1-(J47/3.89))*100</f>
        <v>50.530436203245401</v>
      </c>
      <c r="L47" s="2">
        <v>332</v>
      </c>
      <c r="M47" s="33">
        <f t="shared" ref="M47:M53" si="26">2.8*(L47)/3.14*(H47^2)</f>
        <v>447.89549044585982</v>
      </c>
      <c r="O47">
        <v>2</v>
      </c>
      <c r="P47">
        <v>332</v>
      </c>
      <c r="Q47" t="s">
        <v>100</v>
      </c>
    </row>
    <row r="48" spans="3:18">
      <c r="E48" s="47">
        <v>3</v>
      </c>
      <c r="F48" s="2">
        <v>1.6E-2</v>
      </c>
      <c r="G48" s="33">
        <f t="shared" si="22"/>
        <v>2.54</v>
      </c>
      <c r="H48" s="2">
        <v>1.27</v>
      </c>
      <c r="I48" s="32">
        <f t="shared" si="23"/>
        <v>8.5802393986266663E-3</v>
      </c>
      <c r="J48" s="31">
        <f t="shared" si="24"/>
        <v>1.864749834667891</v>
      </c>
      <c r="K48" s="30">
        <f t="shared" si="25"/>
        <v>52.062986255324141</v>
      </c>
      <c r="L48" s="2">
        <v>518</v>
      </c>
      <c r="M48" s="33">
        <f t="shared" si="26"/>
        <v>745.01597452229294</v>
      </c>
      <c r="O48">
        <v>3</v>
      </c>
      <c r="P48">
        <v>518</v>
      </c>
      <c r="Q48" t="s">
        <v>100</v>
      </c>
    </row>
    <row r="49" spans="3:27">
      <c r="E49" s="47">
        <v>4</v>
      </c>
      <c r="F49" s="2">
        <v>1.34E-2</v>
      </c>
      <c r="G49" s="33">
        <f t="shared" si="22"/>
        <v>2.2599999999999998</v>
      </c>
      <c r="H49" s="2">
        <v>1.1299999999999999</v>
      </c>
      <c r="I49" s="32">
        <f t="shared" si="23"/>
        <v>6.0439877149733312E-3</v>
      </c>
      <c r="J49" s="31">
        <f t="shared" si="24"/>
        <v>2.2170792913431869</v>
      </c>
      <c r="K49" s="30">
        <f t="shared" si="25"/>
        <v>43.005673744391082</v>
      </c>
      <c r="L49" s="2">
        <v>401.3</v>
      </c>
      <c r="M49" s="33">
        <f t="shared" si="26"/>
        <v>456.93500509554121</v>
      </c>
      <c r="O49">
        <v>4</v>
      </c>
      <c r="P49">
        <v>401.3</v>
      </c>
      <c r="Q49" t="s">
        <v>100</v>
      </c>
    </row>
    <row r="50" spans="3:27">
      <c r="E50" s="47">
        <v>5</v>
      </c>
      <c r="F50" s="2">
        <v>1.1599999999999999E-2</v>
      </c>
      <c r="G50" s="33">
        <f t="shared" si="22"/>
        <v>2.2000000000000002</v>
      </c>
      <c r="H50" s="2">
        <v>1.1000000000000001</v>
      </c>
      <c r="I50" s="32">
        <f t="shared" si="23"/>
        <v>5.5752750533333353E-3</v>
      </c>
      <c r="J50" s="31">
        <f t="shared" si="24"/>
        <v>2.080614837659823</v>
      </c>
      <c r="K50" s="30">
        <f t="shared" si="25"/>
        <v>46.513757386636946</v>
      </c>
      <c r="L50" s="2">
        <v>112</v>
      </c>
      <c r="M50" s="33">
        <f t="shared" si="26"/>
        <v>120.84585987261147</v>
      </c>
      <c r="O50">
        <v>5</v>
      </c>
      <c r="P50">
        <v>112</v>
      </c>
      <c r="Q50" t="s">
        <v>100</v>
      </c>
      <c r="R50" t="s">
        <v>103</v>
      </c>
    </row>
    <row r="51" spans="3:27">
      <c r="E51" s="47">
        <v>6</v>
      </c>
      <c r="F51" s="2">
        <v>1.2200000000000001E-2</v>
      </c>
      <c r="G51" s="33">
        <f t="shared" si="22"/>
        <v>2.34</v>
      </c>
      <c r="H51" s="2">
        <v>1.17</v>
      </c>
      <c r="I51" s="32">
        <f t="shared" si="23"/>
        <v>6.7088151795599987E-3</v>
      </c>
      <c r="J51" s="31">
        <f t="shared" si="24"/>
        <v>1.8185029209286019</v>
      </c>
      <c r="K51" s="30">
        <f t="shared" si="25"/>
        <v>53.251852932426694</v>
      </c>
      <c r="L51" s="2">
        <v>245.3</v>
      </c>
      <c r="M51" s="33">
        <f t="shared" si="26"/>
        <v>299.4316165605095</v>
      </c>
      <c r="O51">
        <v>6</v>
      </c>
      <c r="P51">
        <v>245.3</v>
      </c>
      <c r="Q51" t="s">
        <v>100</v>
      </c>
    </row>
    <row r="52" spans="3:27">
      <c r="E52" s="47">
        <v>7</v>
      </c>
      <c r="F52" s="2">
        <v>1.3599999999999999E-2</v>
      </c>
      <c r="G52" s="33">
        <f t="shared" si="22"/>
        <v>2.58</v>
      </c>
      <c r="H52" s="2">
        <v>1.29</v>
      </c>
      <c r="I52" s="32">
        <f t="shared" si="23"/>
        <v>8.992022260679999E-3</v>
      </c>
      <c r="J52" s="31">
        <f t="shared" si="24"/>
        <v>1.5124517717743655</v>
      </c>
      <c r="K52" s="30">
        <f t="shared" si="25"/>
        <v>61.119491728165421</v>
      </c>
      <c r="L52" s="2">
        <v>207</v>
      </c>
      <c r="M52" s="33">
        <f t="shared" si="26"/>
        <v>307.16954140127388</v>
      </c>
      <c r="O52">
        <v>7</v>
      </c>
      <c r="P52">
        <v>207</v>
      </c>
      <c r="Q52" t="s">
        <v>100</v>
      </c>
    </row>
    <row r="53" spans="3:27">
      <c r="E53" s="47">
        <v>8</v>
      </c>
      <c r="F53" s="2">
        <v>1.03E-2</v>
      </c>
      <c r="G53" s="33">
        <f t="shared" si="22"/>
        <v>2.2400000000000002</v>
      </c>
      <c r="H53" s="2">
        <v>1.1200000000000001</v>
      </c>
      <c r="I53" s="32">
        <f>(4/3)*3.14159*((H53/10)^3)</f>
        <v>5.8849436740266688E-3</v>
      </c>
      <c r="J53" s="31">
        <f t="shared" si="24"/>
        <v>1.7502291560511074</v>
      </c>
      <c r="K53" s="30">
        <f t="shared" si="25"/>
        <v>55.006962569380271</v>
      </c>
      <c r="L53" s="2">
        <v>308</v>
      </c>
      <c r="M53" s="33">
        <f t="shared" si="26"/>
        <v>344.52056050955417</v>
      </c>
      <c r="O53">
        <v>8</v>
      </c>
      <c r="P53">
        <v>308</v>
      </c>
      <c r="Q53" t="s">
        <v>100</v>
      </c>
    </row>
    <row r="54" spans="3:27">
      <c r="E54" s="33" t="s">
        <v>102</v>
      </c>
      <c r="F54" s="80">
        <f>AVERAGE(F46:F53)</f>
        <v>1.3550000000000001E-2</v>
      </c>
      <c r="G54" s="51">
        <f>AVERAGE(G46:G53)</f>
        <v>2.3849999999999998</v>
      </c>
      <c r="H54" s="51">
        <f t="shared" ref="H54:M54" si="27">AVERAGE(H46:H53)</f>
        <v>1.1924999999999999</v>
      </c>
      <c r="I54" s="51">
        <f t="shared" si="27"/>
        <v>7.1718541296600007E-3</v>
      </c>
      <c r="J54" s="51">
        <f t="shared" si="27"/>
        <v>1.9073922831532426</v>
      </c>
      <c r="K54" s="51">
        <f t="shared" si="27"/>
        <v>50.966779353387082</v>
      </c>
      <c r="L54" s="51">
        <f t="shared" si="27"/>
        <v>300.86249999999995</v>
      </c>
      <c r="M54" s="51">
        <f t="shared" si="27"/>
        <v>388.00115079617836</v>
      </c>
    </row>
    <row r="55" spans="3:27">
      <c r="E55" s="33" t="s">
        <v>76</v>
      </c>
      <c r="F55" s="80">
        <f>STDEV(F46:F53)</f>
        <v>2.1340772512460069E-3</v>
      </c>
      <c r="G55" s="51">
        <f>STDEV(G46:G53)</f>
        <v>0.14451890632617687</v>
      </c>
      <c r="H55" s="51">
        <f t="shared" ref="H55:M55" si="28">STDEV(H46:H53)</f>
        <v>7.2259453163088433E-2</v>
      </c>
      <c r="I55" s="51">
        <f t="shared" si="28"/>
        <v>1.296385777846466E-3</v>
      </c>
      <c r="J55" s="51">
        <f t="shared" si="28"/>
        <v>0.22372272569661705</v>
      </c>
      <c r="K55" s="51">
        <f t="shared" si="28"/>
        <v>5.7512268816610055</v>
      </c>
      <c r="L55" s="51">
        <f t="shared" si="28"/>
        <v>123.13274993738624</v>
      </c>
      <c r="M55" s="51">
        <f t="shared" si="28"/>
        <v>178.67501415212772</v>
      </c>
    </row>
    <row r="56" spans="3:27">
      <c r="G56" s="29"/>
      <c r="H56" s="29"/>
      <c r="I56" s="29"/>
      <c r="J56" s="29"/>
      <c r="K56" s="29"/>
      <c r="L56" s="29"/>
      <c r="M56" s="29"/>
    </row>
    <row r="57" spans="3:27">
      <c r="E57" s="29"/>
      <c r="F57" s="29"/>
      <c r="G57" s="29"/>
      <c r="H57" s="29"/>
      <c r="I57" s="29"/>
      <c r="J57" s="29"/>
      <c r="K57" s="29"/>
      <c r="L57" s="29"/>
      <c r="M57" s="29"/>
    </row>
    <row r="58" spans="3:27">
      <c r="C58" s="52" t="s">
        <v>93</v>
      </c>
      <c r="D58" s="53">
        <v>5</v>
      </c>
      <c r="E58" s="33"/>
      <c r="F58" s="47" t="s">
        <v>71</v>
      </c>
      <c r="G58" s="47" t="s">
        <v>72</v>
      </c>
      <c r="H58" s="47" t="s">
        <v>94</v>
      </c>
      <c r="I58" s="47" t="s">
        <v>95</v>
      </c>
      <c r="J58" s="47" t="s">
        <v>73</v>
      </c>
      <c r="K58" s="47" t="s">
        <v>96</v>
      </c>
      <c r="L58" s="47" t="s">
        <v>97</v>
      </c>
      <c r="M58" s="47" t="s">
        <v>98</v>
      </c>
      <c r="P58" t="s">
        <v>99</v>
      </c>
    </row>
    <row r="59" spans="3:27">
      <c r="E59" s="47">
        <v>1</v>
      </c>
      <c r="F59" s="2">
        <v>8.8999999999999999E-3</v>
      </c>
      <c r="G59" s="33">
        <f>H59*2</f>
        <v>1.68</v>
      </c>
      <c r="H59" s="2">
        <v>0.84</v>
      </c>
      <c r="I59" s="32">
        <f>(4/3)*3.14159*((H59/10)^3)</f>
        <v>2.4827106124799994E-3</v>
      </c>
      <c r="J59" s="31">
        <f>F59/I59</f>
        <v>3.5847915400457078</v>
      </c>
      <c r="K59" s="30">
        <f>(1-(J59/3.89))*100</f>
        <v>7.8459758343005781</v>
      </c>
      <c r="L59" s="2">
        <v>348.7</v>
      </c>
      <c r="M59" s="33">
        <f>2.8*(L59)/3.14*(H59^2)</f>
        <v>219.40115159235663</v>
      </c>
      <c r="O59">
        <v>1</v>
      </c>
      <c r="P59">
        <v>348.7</v>
      </c>
      <c r="Q59" t="s">
        <v>100</v>
      </c>
    </row>
    <row r="60" spans="3:27">
      <c r="E60" s="47">
        <v>2</v>
      </c>
      <c r="F60" s="2">
        <v>9.4000000000000004E-3</v>
      </c>
      <c r="G60" s="33">
        <f t="shared" ref="G60:G66" si="29">H60*2</f>
        <v>1.74</v>
      </c>
      <c r="H60" s="2">
        <v>0.87</v>
      </c>
      <c r="I60" s="32">
        <f t="shared" ref="I60:I65" si="30">(4/3)*3.14159*((H60/10)^3)</f>
        <v>2.7583285863599992E-3</v>
      </c>
      <c r="J60" s="31">
        <f t="shared" ref="J60:J66" si="31">F60/I60</f>
        <v>3.407860849676585</v>
      </c>
      <c r="K60" s="30">
        <f t="shared" ref="K60:K66" si="32">(1-(J60/3.89))*100</f>
        <v>12.394322630421984</v>
      </c>
      <c r="L60" s="2">
        <v>466.7</v>
      </c>
      <c r="M60" s="33">
        <f t="shared" ref="M60:M66" si="33">2.8*(L60)/3.14*(H60^2)</f>
        <v>314.99574649681529</v>
      </c>
      <c r="O60">
        <v>2</v>
      </c>
      <c r="P60">
        <v>466.7</v>
      </c>
      <c r="Q60" t="s">
        <v>100</v>
      </c>
    </row>
    <row r="61" spans="3:27">
      <c r="E61" s="47">
        <v>3</v>
      </c>
      <c r="F61" s="2">
        <v>9.5999999999999992E-3</v>
      </c>
      <c r="G61" s="33">
        <f t="shared" si="29"/>
        <v>1.74</v>
      </c>
      <c r="H61" s="2">
        <v>0.87</v>
      </c>
      <c r="I61" s="32">
        <f t="shared" si="30"/>
        <v>2.7583285863599992E-3</v>
      </c>
      <c r="J61" s="31">
        <f t="shared" si="31"/>
        <v>3.4803685273292779</v>
      </c>
      <c r="K61" s="30">
        <f t="shared" si="32"/>
        <v>10.530372048090541</v>
      </c>
      <c r="L61" s="2">
        <v>307.7</v>
      </c>
      <c r="M61" s="33">
        <f t="shared" si="33"/>
        <v>207.67986114649679</v>
      </c>
      <c r="O61">
        <v>3</v>
      </c>
      <c r="P61">
        <v>307.7</v>
      </c>
      <c r="Q61" t="s">
        <v>100</v>
      </c>
      <c r="R61" s="29"/>
      <c r="S61" s="29"/>
      <c r="T61" s="29"/>
      <c r="U61" s="29"/>
      <c r="V61" s="29"/>
      <c r="W61" s="29"/>
      <c r="X61" s="29"/>
      <c r="Y61" s="29"/>
      <c r="Z61" s="29"/>
      <c r="AA61" s="29"/>
    </row>
    <row r="62" spans="3:27">
      <c r="E62" s="47">
        <v>4</v>
      </c>
      <c r="F62" s="2">
        <v>1.0500000000000001E-2</v>
      </c>
      <c r="G62" s="33">
        <f t="shared" si="29"/>
        <v>1.78</v>
      </c>
      <c r="H62" s="2">
        <v>0.89</v>
      </c>
      <c r="I62" s="32">
        <f t="shared" si="30"/>
        <v>2.952964747613333E-3</v>
      </c>
      <c r="J62" s="31">
        <f t="shared" si="31"/>
        <v>3.5557485095229762</v>
      </c>
      <c r="K62" s="30">
        <f t="shared" si="32"/>
        <v>8.5925833027512546</v>
      </c>
      <c r="L62" s="2">
        <v>312</v>
      </c>
      <c r="M62" s="33">
        <f t="shared" si="33"/>
        <v>220.37533757961779</v>
      </c>
      <c r="O62">
        <v>4</v>
      </c>
      <c r="P62">
        <v>312</v>
      </c>
      <c r="Q62" t="s">
        <v>100</v>
      </c>
      <c r="R62" s="29"/>
      <c r="S62" s="29"/>
      <c r="T62" s="29"/>
      <c r="U62" s="29"/>
      <c r="V62" s="29"/>
      <c r="W62" s="29"/>
      <c r="X62" s="29"/>
      <c r="Y62" s="29"/>
      <c r="Z62" s="29"/>
      <c r="AA62" s="29"/>
    </row>
    <row r="63" spans="3:27">
      <c r="E63" s="47">
        <v>5</v>
      </c>
      <c r="F63" s="2">
        <v>1.0999999999999999E-2</v>
      </c>
      <c r="G63" s="33">
        <f t="shared" si="29"/>
        <v>1.78</v>
      </c>
      <c r="H63" s="2">
        <v>0.89</v>
      </c>
      <c r="I63" s="32">
        <f t="shared" si="30"/>
        <v>2.952964747613333E-3</v>
      </c>
      <c r="J63" s="31">
        <f t="shared" si="31"/>
        <v>3.7250698671193079</v>
      </c>
      <c r="K63" s="30">
        <f t="shared" si="32"/>
        <v>4.2398491743108497</v>
      </c>
      <c r="L63" s="2">
        <v>223.7</v>
      </c>
      <c r="M63" s="33">
        <f t="shared" si="33"/>
        <v>158.00629171974521</v>
      </c>
      <c r="O63">
        <v>5</v>
      </c>
      <c r="P63">
        <v>223.7</v>
      </c>
      <c r="Q63" t="s">
        <v>100</v>
      </c>
      <c r="R63" s="29"/>
      <c r="S63" s="29"/>
      <c r="T63" s="29"/>
      <c r="U63" s="29"/>
      <c r="V63" s="29"/>
      <c r="W63" s="29"/>
      <c r="X63" s="29"/>
      <c r="Y63" s="29"/>
      <c r="Z63" s="29"/>
      <c r="AA63" s="29"/>
    </row>
    <row r="64" spans="3:27">
      <c r="E64" s="47">
        <v>6</v>
      </c>
      <c r="F64" s="2">
        <v>9.9000000000000008E-3</v>
      </c>
      <c r="G64" s="33">
        <f t="shared" si="29"/>
        <v>1.78</v>
      </c>
      <c r="H64" s="2">
        <v>0.89</v>
      </c>
      <c r="I64" s="32">
        <f t="shared" si="30"/>
        <v>2.952964747613333E-3</v>
      </c>
      <c r="J64" s="31">
        <f t="shared" si="31"/>
        <v>3.3525628804073779</v>
      </c>
      <c r="K64" s="30">
        <f t="shared" si="32"/>
        <v>13.815864256879751</v>
      </c>
      <c r="L64" s="2">
        <v>347.7</v>
      </c>
      <c r="M64" s="33">
        <f t="shared" si="33"/>
        <v>245.59136178343948</v>
      </c>
      <c r="O64">
        <v>6</v>
      </c>
      <c r="P64">
        <v>347.7</v>
      </c>
      <c r="Q64" t="s">
        <v>100</v>
      </c>
      <c r="R64" s="29"/>
      <c r="S64" s="29"/>
      <c r="T64" s="29"/>
      <c r="U64" s="29"/>
      <c r="V64" s="29"/>
      <c r="W64" s="29"/>
      <c r="X64" s="29"/>
      <c r="Y64" s="29"/>
      <c r="Z64" s="29"/>
      <c r="AA64" s="29"/>
    </row>
    <row r="65" spans="3:27">
      <c r="E65" s="47">
        <v>7</v>
      </c>
      <c r="F65" s="2">
        <v>9.7000000000000003E-3</v>
      </c>
      <c r="G65" s="33">
        <f t="shared" si="29"/>
        <v>1.78</v>
      </c>
      <c r="H65" s="2">
        <v>0.89</v>
      </c>
      <c r="I65" s="32">
        <f t="shared" si="30"/>
        <v>2.952964747613333E-3</v>
      </c>
      <c r="J65" s="31">
        <f t="shared" si="31"/>
        <v>3.2848343373688449</v>
      </c>
      <c r="K65" s="30">
        <f t="shared" si="32"/>
        <v>15.556957908255919</v>
      </c>
      <c r="L65" s="2">
        <v>310.7</v>
      </c>
      <c r="M65" s="33">
        <f t="shared" si="33"/>
        <v>219.4571070063694</v>
      </c>
      <c r="O65">
        <v>7</v>
      </c>
      <c r="P65">
        <v>310.7</v>
      </c>
      <c r="Q65" t="s">
        <v>100</v>
      </c>
      <c r="R65" s="29"/>
      <c r="S65" s="29"/>
      <c r="T65" s="29"/>
      <c r="U65" s="29"/>
      <c r="V65" s="29"/>
      <c r="W65" s="29"/>
      <c r="X65" s="29"/>
      <c r="Y65" s="29"/>
      <c r="Z65" s="29"/>
      <c r="AA65" s="29"/>
    </row>
    <row r="66" spans="3:27">
      <c r="E66" s="47">
        <v>8</v>
      </c>
      <c r="F66" s="2">
        <v>9.9000000000000008E-3</v>
      </c>
      <c r="G66" s="33">
        <f t="shared" si="29"/>
        <v>1.72</v>
      </c>
      <c r="H66" s="2">
        <v>0.86</v>
      </c>
      <c r="I66" s="32">
        <f>(4/3)*3.14159*((H66/10)^3)</f>
        <v>2.6643028920533326E-3</v>
      </c>
      <c r="J66" s="31">
        <f t="shared" si="31"/>
        <v>3.7157937370890441</v>
      </c>
      <c r="K66" s="30">
        <f t="shared" si="32"/>
        <v>4.4783101005387183</v>
      </c>
      <c r="L66" s="2">
        <v>333</v>
      </c>
      <c r="M66" s="33">
        <f t="shared" si="33"/>
        <v>219.61880254777066</v>
      </c>
      <c r="O66">
        <v>8</v>
      </c>
      <c r="P66">
        <v>333</v>
      </c>
      <c r="Q66" t="s">
        <v>100</v>
      </c>
      <c r="R66" s="29"/>
      <c r="S66" s="29"/>
      <c r="T66" s="29"/>
      <c r="U66" s="29"/>
      <c r="V66" s="29"/>
      <c r="W66" s="29"/>
      <c r="X66" s="29"/>
      <c r="Y66" s="29"/>
      <c r="Z66" s="29"/>
      <c r="AA66" s="29"/>
    </row>
    <row r="67" spans="3:27">
      <c r="E67" s="33" t="s">
        <v>102</v>
      </c>
      <c r="F67" s="80">
        <f>AVERAGE(F59:F66)</f>
        <v>9.8625000000000015E-3</v>
      </c>
      <c r="G67" s="51">
        <f>AVERAGE(G59:G66)</f>
        <v>1.75</v>
      </c>
      <c r="H67" s="51">
        <f t="shared" ref="H67:L67" si="34">AVERAGE(H59:H66)</f>
        <v>0.875</v>
      </c>
      <c r="I67" s="51">
        <f t="shared" si="34"/>
        <v>2.8094412084633327E-3</v>
      </c>
      <c r="J67" s="51">
        <f t="shared" si="34"/>
        <v>3.5133787810698904</v>
      </c>
      <c r="K67" s="51">
        <f t="shared" si="34"/>
        <v>9.6817794069437006</v>
      </c>
      <c r="L67" s="51">
        <f t="shared" si="34"/>
        <v>331.27499999999998</v>
      </c>
      <c r="M67" s="51">
        <f>AVERAGE(M59:M66)</f>
        <v>225.64070748407639</v>
      </c>
      <c r="Q67" s="29"/>
      <c r="R67" s="29"/>
      <c r="S67" s="29"/>
      <c r="T67" s="29"/>
      <c r="U67" s="29"/>
      <c r="V67" s="29"/>
      <c r="W67" s="29"/>
      <c r="X67" s="29"/>
      <c r="Y67" s="29"/>
      <c r="Z67" s="29"/>
      <c r="AA67" s="29"/>
    </row>
    <row r="68" spans="3:27">
      <c r="E68" s="33" t="s">
        <v>76</v>
      </c>
      <c r="F68" s="80">
        <f>STDEV(F59:F66)</f>
        <v>6.479362843454814E-4</v>
      </c>
      <c r="G68" s="51">
        <f>STDEV(G59:G66)</f>
        <v>3.7032803990902093E-2</v>
      </c>
      <c r="H68" s="51">
        <f t="shared" ref="H68:L68" si="35">STDEV(H59:H66)</f>
        <v>1.8516401995451046E-2</v>
      </c>
      <c r="I68" s="51">
        <f t="shared" si="35"/>
        <v>1.7543376392696578E-4</v>
      </c>
      <c r="J68" s="51">
        <f t="shared" si="35"/>
        <v>0.16168661651337468</v>
      </c>
      <c r="K68" s="51">
        <f t="shared" si="35"/>
        <v>4.1564682908322519</v>
      </c>
      <c r="L68" s="51">
        <f t="shared" si="35"/>
        <v>67.442393407792281</v>
      </c>
      <c r="M68" s="51">
        <f>STDEV(M59:M66)</f>
        <v>43.786028810197109</v>
      </c>
      <c r="Q68" s="29"/>
      <c r="R68" s="29"/>
      <c r="S68" s="29"/>
      <c r="T68" s="29"/>
      <c r="U68" s="29"/>
      <c r="V68" s="29"/>
      <c r="W68" s="29"/>
      <c r="X68" s="29"/>
      <c r="Y68" s="29"/>
      <c r="Z68" s="29"/>
      <c r="AA68" s="29"/>
    </row>
    <row r="69" spans="3:27">
      <c r="G69" s="29"/>
      <c r="H69" s="29"/>
      <c r="I69" s="29"/>
      <c r="J69" s="29"/>
      <c r="K69" s="29"/>
      <c r="L69" s="29"/>
      <c r="M69" s="29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  <c r="AA69" s="29"/>
    </row>
    <row r="70" spans="3:27">
      <c r="E70" s="29"/>
      <c r="F70" s="29"/>
      <c r="G70" s="29"/>
      <c r="H70" s="29"/>
      <c r="I70" s="29"/>
      <c r="J70" s="29"/>
      <c r="K70" s="29"/>
      <c r="L70" s="29"/>
      <c r="M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  <c r="AA70" s="29"/>
    </row>
    <row r="71" spans="3:27">
      <c r="C71" s="52" t="s">
        <v>93</v>
      </c>
      <c r="D71" s="53">
        <v>6</v>
      </c>
      <c r="E71" s="33"/>
      <c r="F71" s="47" t="s">
        <v>71</v>
      </c>
      <c r="G71" s="47" t="s">
        <v>72</v>
      </c>
      <c r="H71" s="47" t="s">
        <v>94</v>
      </c>
      <c r="I71" s="47" t="s">
        <v>95</v>
      </c>
      <c r="J71" s="47" t="s">
        <v>73</v>
      </c>
      <c r="K71" s="47" t="s">
        <v>96</v>
      </c>
      <c r="L71" s="47" t="s">
        <v>97</v>
      </c>
      <c r="M71" s="47" t="s">
        <v>98</v>
      </c>
      <c r="P71" s="29" t="s">
        <v>99</v>
      </c>
      <c r="Q71" s="29"/>
      <c r="R71" s="29"/>
      <c r="S71" s="29"/>
      <c r="T71" s="29"/>
      <c r="U71" s="29"/>
      <c r="V71" s="29"/>
      <c r="W71" s="29"/>
      <c r="X71" s="29"/>
      <c r="Y71" s="29"/>
      <c r="Z71" s="29"/>
      <c r="AA71" s="29"/>
    </row>
    <row r="72" spans="3:27">
      <c r="E72" s="47">
        <v>1</v>
      </c>
      <c r="F72" s="2">
        <v>1.3899999999999999E-2</v>
      </c>
      <c r="G72" s="33">
        <f>H72*2</f>
        <v>2.16</v>
      </c>
      <c r="H72" s="2">
        <v>1.08</v>
      </c>
      <c r="I72" s="32">
        <f>(4/3)*3.14159*((H72/10)^3)</f>
        <v>5.2766648294400014E-3</v>
      </c>
      <c r="J72" s="31">
        <f>F72/I72</f>
        <v>2.6342397043010917</v>
      </c>
      <c r="K72" s="30">
        <f>(1-(J72/3.89))*100</f>
        <v>32.281755673493798</v>
      </c>
      <c r="L72" s="2">
        <v>275.7</v>
      </c>
      <c r="M72" s="33">
        <f>2.8*(L72)/3.14*(H72^2)</f>
        <v>286.75609681528664</v>
      </c>
      <c r="O72">
        <v>1</v>
      </c>
      <c r="P72">
        <v>275.7</v>
      </c>
      <c r="Q72" t="s">
        <v>100</v>
      </c>
      <c r="U72" s="29"/>
      <c r="V72" s="29"/>
      <c r="W72" s="29"/>
      <c r="X72" s="29"/>
      <c r="Y72" s="29"/>
      <c r="Z72" s="29"/>
      <c r="AA72" s="29"/>
    </row>
    <row r="73" spans="3:27">
      <c r="E73" s="47">
        <v>2</v>
      </c>
      <c r="F73" s="2">
        <v>1.3899999999999999E-2</v>
      </c>
      <c r="G73" s="33">
        <f t="shared" ref="G73:G79" si="36">H73*2</f>
        <v>2.1800000000000002</v>
      </c>
      <c r="H73" s="2">
        <v>1.0900000000000001</v>
      </c>
      <c r="I73" s="32">
        <f t="shared" ref="I73:I78" si="37">(4/3)*3.14159*((H73/10)^3)</f>
        <v>5.4246002081466682E-3</v>
      </c>
      <c r="J73" s="31">
        <f t="shared" ref="J73:J79" si="38">F73/I73</f>
        <v>2.5624008160315612</v>
      </c>
      <c r="K73" s="30">
        <f t="shared" ref="K73:K79" si="39">(1-(J73/3.89))*100</f>
        <v>34.12851372669509</v>
      </c>
      <c r="L73" s="2">
        <v>564</v>
      </c>
      <c r="M73" s="33">
        <f t="shared" ref="M73:M79" si="40">2.8*(L73)/3.14*(H73^2)</f>
        <v>597.53105732484073</v>
      </c>
      <c r="O73">
        <v>2</v>
      </c>
      <c r="P73">
        <v>564</v>
      </c>
      <c r="Q73" t="s">
        <v>100</v>
      </c>
      <c r="U73" s="29"/>
      <c r="V73" s="29"/>
      <c r="W73" s="29"/>
      <c r="X73" s="29"/>
      <c r="Y73" s="29"/>
      <c r="Z73" s="29"/>
      <c r="AA73" s="29"/>
    </row>
    <row r="74" spans="3:27">
      <c r="E74" s="47">
        <v>3</v>
      </c>
      <c r="F74" s="2">
        <v>1.35E-2</v>
      </c>
      <c r="G74" s="33">
        <f t="shared" si="36"/>
        <v>2.14</v>
      </c>
      <c r="H74" s="2">
        <v>1.07</v>
      </c>
      <c r="I74" s="32">
        <f>(4/3)*3.14159*((H74/10)^3)</f>
        <v>5.1314437844933343E-3</v>
      </c>
      <c r="J74" s="31">
        <f t="shared" si="38"/>
        <v>2.6308385255618569</v>
      </c>
      <c r="K74" s="30">
        <f t="shared" si="39"/>
        <v>32.369189574245326</v>
      </c>
      <c r="L74" s="2">
        <v>328.7</v>
      </c>
      <c r="M74" s="33">
        <f t="shared" si="40"/>
        <v>335.57967006369421</v>
      </c>
      <c r="O74">
        <v>3</v>
      </c>
      <c r="P74">
        <v>328.7</v>
      </c>
      <c r="Q74" t="s">
        <v>100</v>
      </c>
      <c r="U74" s="29"/>
      <c r="V74" s="29"/>
      <c r="W74" s="29"/>
      <c r="X74" s="29"/>
      <c r="Y74" s="29"/>
      <c r="Z74" s="29"/>
      <c r="AA74" s="29"/>
    </row>
    <row r="75" spans="3:27">
      <c r="E75" s="47">
        <v>4</v>
      </c>
      <c r="F75" s="2">
        <v>1.41E-2</v>
      </c>
      <c r="G75" s="33">
        <f t="shared" si="36"/>
        <v>2.12</v>
      </c>
      <c r="H75" s="2">
        <v>1.06</v>
      </c>
      <c r="I75" s="32">
        <f t="shared" si="37"/>
        <v>4.988911940586668E-3</v>
      </c>
      <c r="J75" s="31">
        <f>F75/I75</f>
        <v>2.8262675645347066</v>
      </c>
      <c r="K75" s="30">
        <f t="shared" si="39"/>
        <v>27.345306824300607</v>
      </c>
      <c r="L75" s="2">
        <v>463.7</v>
      </c>
      <c r="M75" s="33">
        <f t="shared" si="40"/>
        <v>464.59786496815292</v>
      </c>
      <c r="O75">
        <v>4</v>
      </c>
      <c r="P75">
        <v>463.7</v>
      </c>
      <c r="Q75" t="s">
        <v>100</v>
      </c>
      <c r="U75" s="29"/>
      <c r="V75" s="29"/>
      <c r="W75" s="29"/>
      <c r="X75" s="29"/>
      <c r="Y75" s="29"/>
      <c r="Z75" s="29"/>
      <c r="AA75" s="29"/>
    </row>
    <row r="76" spans="3:27">
      <c r="E76" s="47">
        <v>5</v>
      </c>
      <c r="F76" s="2">
        <v>1.3899999999999999E-2</v>
      </c>
      <c r="G76" s="33">
        <f t="shared" si="36"/>
        <v>2.12</v>
      </c>
      <c r="H76" s="2">
        <v>1.06</v>
      </c>
      <c r="I76" s="32">
        <f t="shared" si="37"/>
        <v>4.988911940586668E-3</v>
      </c>
      <c r="J76" s="31">
        <f t="shared" si="38"/>
        <v>2.7861786629101011</v>
      </c>
      <c r="K76" s="30">
        <f t="shared" si="39"/>
        <v>28.375869848069378</v>
      </c>
      <c r="L76" s="2">
        <v>200.3</v>
      </c>
      <c r="M76" s="33">
        <f t="shared" si="40"/>
        <v>200.68784203821659</v>
      </c>
      <c r="O76">
        <v>5</v>
      </c>
      <c r="P76">
        <v>200.3</v>
      </c>
      <c r="Q76" t="s">
        <v>100</v>
      </c>
      <c r="R76" t="s">
        <v>103</v>
      </c>
      <c r="U76" s="29"/>
      <c r="V76" s="29"/>
      <c r="W76" s="29"/>
      <c r="X76" s="29"/>
      <c r="Y76" s="29"/>
      <c r="Z76" s="29"/>
      <c r="AA76" s="29"/>
    </row>
    <row r="77" spans="3:27">
      <c r="E77" s="47">
        <v>6</v>
      </c>
      <c r="F77" s="2">
        <v>1.43E-2</v>
      </c>
      <c r="G77" s="33">
        <f t="shared" si="36"/>
        <v>2.14</v>
      </c>
      <c r="H77" s="2">
        <v>1.07</v>
      </c>
      <c r="I77" s="32">
        <f t="shared" si="37"/>
        <v>5.1314437844933343E-3</v>
      </c>
      <c r="J77" s="31">
        <f t="shared" si="38"/>
        <v>2.7867400678173748</v>
      </c>
      <c r="K77" s="30">
        <f t="shared" si="39"/>
        <v>28.361437845311698</v>
      </c>
      <c r="L77" s="2">
        <v>542</v>
      </c>
      <c r="M77" s="33">
        <f t="shared" si="40"/>
        <v>553.34402547770696</v>
      </c>
      <c r="O77">
        <v>6</v>
      </c>
      <c r="P77">
        <v>542</v>
      </c>
      <c r="Q77" t="s">
        <v>100</v>
      </c>
      <c r="U77" s="29"/>
      <c r="V77" s="29"/>
      <c r="W77" s="29"/>
      <c r="X77" s="29"/>
      <c r="Y77" s="29"/>
      <c r="Z77" s="29"/>
      <c r="AA77" s="29"/>
    </row>
    <row r="78" spans="3:27">
      <c r="E78" s="47">
        <v>7</v>
      </c>
      <c r="F78" s="2">
        <v>1.3899999999999999E-2</v>
      </c>
      <c r="G78" s="33">
        <f t="shared" si="36"/>
        <v>2.16</v>
      </c>
      <c r="H78" s="2">
        <v>1.08</v>
      </c>
      <c r="I78" s="32">
        <f t="shared" si="37"/>
        <v>5.2766648294400014E-3</v>
      </c>
      <c r="J78" s="31">
        <f t="shared" si="38"/>
        <v>2.6342397043010917</v>
      </c>
      <c r="K78" s="30">
        <f t="shared" si="39"/>
        <v>32.281755673493798</v>
      </c>
      <c r="L78" s="2">
        <v>200</v>
      </c>
      <c r="M78" s="33">
        <f t="shared" si="40"/>
        <v>208.0203821656051</v>
      </c>
      <c r="O78">
        <v>7</v>
      </c>
      <c r="P78">
        <v>200</v>
      </c>
      <c r="Q78" t="s">
        <v>100</v>
      </c>
      <c r="R78" t="s">
        <v>103</v>
      </c>
      <c r="U78" s="29"/>
      <c r="V78" s="29"/>
      <c r="W78" s="29"/>
      <c r="X78" s="29"/>
      <c r="Y78" s="29"/>
      <c r="Z78" s="29"/>
      <c r="AA78" s="29"/>
    </row>
    <row r="79" spans="3:27">
      <c r="E79" s="47">
        <v>8</v>
      </c>
      <c r="F79" s="2">
        <v>1.37E-2</v>
      </c>
      <c r="G79" s="33">
        <f t="shared" si="36"/>
        <v>2.16</v>
      </c>
      <c r="H79" s="2">
        <v>1.08</v>
      </c>
      <c r="I79" s="32">
        <f>(4/3)*3.14159*((H79/10)^3)</f>
        <v>5.2766648294400014E-3</v>
      </c>
      <c r="J79" s="31">
        <f t="shared" si="38"/>
        <v>2.5963369747428029</v>
      </c>
      <c r="K79" s="30">
        <f t="shared" si="39"/>
        <v>33.256118901213291</v>
      </c>
      <c r="L79" s="2">
        <v>195</v>
      </c>
      <c r="M79" s="33">
        <f t="shared" si="40"/>
        <v>202.81987261146497</v>
      </c>
      <c r="O79">
        <v>8</v>
      </c>
      <c r="P79">
        <v>195</v>
      </c>
      <c r="Q79" t="s">
        <v>100</v>
      </c>
      <c r="R79" t="s">
        <v>103</v>
      </c>
      <c r="U79" s="29"/>
      <c r="V79" s="29"/>
      <c r="W79" s="29"/>
      <c r="X79" s="29"/>
      <c r="Y79" s="29"/>
      <c r="Z79" s="29"/>
      <c r="AA79" s="29"/>
    </row>
    <row r="80" spans="3:27">
      <c r="E80" s="33" t="s">
        <v>102</v>
      </c>
      <c r="F80" s="80">
        <f>AVERAGE(F72:F79)</f>
        <v>1.3900000000000001E-2</v>
      </c>
      <c r="G80" s="51">
        <f>AVERAGE(G72:G79)</f>
        <v>2.1475000000000004</v>
      </c>
      <c r="H80" s="51">
        <f t="shared" ref="H80:M80" si="41">AVERAGE(H72:H79)</f>
        <v>1.0737500000000002</v>
      </c>
      <c r="I80" s="51">
        <f t="shared" si="41"/>
        <v>5.1869132683283348E-3</v>
      </c>
      <c r="J80" s="51">
        <f t="shared" si="41"/>
        <v>2.6821552525250736</v>
      </c>
      <c r="K80" s="51">
        <f t="shared" si="41"/>
        <v>31.04999350835287</v>
      </c>
      <c r="L80" s="51">
        <f t="shared" si="41"/>
        <v>346.17500000000001</v>
      </c>
      <c r="M80" s="51">
        <f t="shared" si="41"/>
        <v>356.16710143312105</v>
      </c>
      <c r="U80" s="29"/>
      <c r="V80" s="29"/>
      <c r="W80" s="29"/>
      <c r="X80" s="29"/>
      <c r="Y80" s="29"/>
      <c r="Z80" s="29"/>
      <c r="AA80" s="29"/>
    </row>
    <row r="81" spans="3:27">
      <c r="E81" s="33" t="s">
        <v>76</v>
      </c>
      <c r="F81" s="80">
        <f>STDEV(F72:F79)</f>
        <v>2.3904572186687876E-4</v>
      </c>
      <c r="G81" s="51">
        <f>STDEV(G72:G79)</f>
        <v>2.1213203435596444E-2</v>
      </c>
      <c r="H81" s="51">
        <f t="shared" ref="H81:M81" si="42">STDEV(H72:H79)</f>
        <v>1.0606601717798222E-2</v>
      </c>
      <c r="I81" s="51">
        <f t="shared" si="42"/>
        <v>1.5363402170413967E-4</v>
      </c>
      <c r="J81" s="51">
        <f t="shared" si="42"/>
        <v>0.10103628755582174</v>
      </c>
      <c r="K81" s="51">
        <f t="shared" si="42"/>
        <v>2.5973338703296092</v>
      </c>
      <c r="L81" s="51">
        <f t="shared" si="42"/>
        <v>156.01278106983045</v>
      </c>
      <c r="M81" s="51">
        <f t="shared" si="42"/>
        <v>162.02772340895405</v>
      </c>
      <c r="P81" s="29"/>
      <c r="Q81" s="29"/>
      <c r="R81" s="29"/>
      <c r="S81" s="29"/>
      <c r="T81" s="29"/>
      <c r="U81" s="29"/>
      <c r="V81" s="29"/>
      <c r="W81" s="29"/>
      <c r="X81" s="29"/>
      <c r="Y81" s="29"/>
      <c r="Z81" s="29"/>
      <c r="AA81" s="29"/>
    </row>
    <row r="82" spans="3:27">
      <c r="E82" s="29"/>
      <c r="F82" s="29"/>
      <c r="G82" s="29"/>
      <c r="H82" s="29"/>
      <c r="I82" s="29"/>
      <c r="J82" s="29"/>
      <c r="K82" s="29"/>
      <c r="L82" s="29"/>
      <c r="M82" s="29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  <c r="AA82" s="29"/>
    </row>
    <row r="83" spans="3:27">
      <c r="G83" s="29"/>
      <c r="H83" s="29"/>
      <c r="I83" s="29"/>
      <c r="J83" s="29"/>
      <c r="K83" s="29"/>
      <c r="L83" s="29"/>
      <c r="M83" s="29"/>
      <c r="P83" s="29"/>
      <c r="Q83" s="29"/>
      <c r="R83" s="29"/>
      <c r="S83" s="29"/>
      <c r="T83" s="29"/>
      <c r="U83" s="29"/>
      <c r="V83" s="29"/>
      <c r="W83" s="29"/>
      <c r="X83" s="29"/>
      <c r="Y83" s="29"/>
      <c r="Z83" s="29"/>
      <c r="AA83" s="29"/>
    </row>
    <row r="84" spans="3:27">
      <c r="E84" s="29"/>
      <c r="F84" s="29"/>
      <c r="G84" s="29"/>
      <c r="H84" s="29"/>
      <c r="I84" s="29"/>
      <c r="J84" s="29"/>
      <c r="K84" s="29"/>
      <c r="L84" s="29"/>
      <c r="M84" s="29"/>
      <c r="P84" s="29"/>
      <c r="Q84" s="29"/>
      <c r="R84" s="29"/>
      <c r="S84" s="29"/>
      <c r="T84" s="29"/>
      <c r="U84" s="29"/>
      <c r="V84" s="29"/>
      <c r="W84" s="29"/>
      <c r="X84" s="29"/>
      <c r="Y84" s="29"/>
      <c r="Z84" s="29"/>
      <c r="AA84" s="29"/>
    </row>
    <row r="85" spans="3:27">
      <c r="C85" s="52" t="s">
        <v>93</v>
      </c>
      <c r="D85" s="52">
        <v>7</v>
      </c>
      <c r="E85" s="33"/>
      <c r="F85" s="47" t="s">
        <v>71</v>
      </c>
      <c r="G85" s="47" t="s">
        <v>72</v>
      </c>
      <c r="H85" s="47" t="s">
        <v>94</v>
      </c>
      <c r="I85" s="47" t="s">
        <v>95</v>
      </c>
      <c r="J85" s="47" t="s">
        <v>73</v>
      </c>
      <c r="K85" s="47" t="s">
        <v>96</v>
      </c>
      <c r="L85" s="47" t="s">
        <v>97</v>
      </c>
      <c r="M85" s="47" t="s">
        <v>98</v>
      </c>
      <c r="P85" s="29" t="s">
        <v>99</v>
      </c>
      <c r="Q85" s="29"/>
      <c r="R85" s="29"/>
      <c r="S85" s="29"/>
      <c r="T85" s="29"/>
      <c r="U85" s="29"/>
      <c r="V85" s="29"/>
      <c r="W85" s="29"/>
      <c r="X85" s="29"/>
      <c r="Y85" s="29"/>
      <c r="Z85" s="29"/>
      <c r="AA85" s="29"/>
    </row>
    <row r="86" spans="3:27">
      <c r="E86" s="47">
        <v>1</v>
      </c>
      <c r="F86" s="2">
        <v>8.8999999999999999E-3</v>
      </c>
      <c r="G86" s="33">
        <f>H86*2</f>
        <v>2.08</v>
      </c>
      <c r="H86" s="2">
        <v>1.04</v>
      </c>
      <c r="I86" s="32">
        <f>(4/3)*3.14159*((H86/10)^3)</f>
        <v>4.7118153250133342E-3</v>
      </c>
      <c r="J86" s="31">
        <f>F86/I86</f>
        <v>1.8888685965158902</v>
      </c>
      <c r="K86" s="30">
        <f>(1-(J86/3.89))*100</f>
        <v>51.442966670542667</v>
      </c>
      <c r="L86" s="2">
        <v>380</v>
      </c>
      <c r="M86" s="33">
        <f>2.8*(L86)/3.14*(H86^2)</f>
        <v>366.50394904458602</v>
      </c>
      <c r="O86">
        <v>1</v>
      </c>
      <c r="P86">
        <v>380</v>
      </c>
      <c r="Q86" t="s">
        <v>100</v>
      </c>
      <c r="V86" s="29"/>
      <c r="W86" s="29"/>
      <c r="X86" s="29"/>
      <c r="Y86" s="29"/>
      <c r="Z86" s="29"/>
      <c r="AA86" s="29"/>
    </row>
    <row r="87" spans="3:27">
      <c r="E87" s="47">
        <v>2</v>
      </c>
      <c r="F87" s="2">
        <v>8.2000000000000007E-3</v>
      </c>
      <c r="G87" s="33">
        <f t="shared" ref="G87:G93" si="43">H87*2</f>
        <v>2.12</v>
      </c>
      <c r="H87" s="2">
        <v>1.06</v>
      </c>
      <c r="I87" s="32">
        <f t="shared" ref="I87:I92" si="44">(4/3)*3.14159*((H87/10)^3)</f>
        <v>4.988911940586668E-3</v>
      </c>
      <c r="J87" s="31">
        <f t="shared" ref="J87:J93" si="45">F87/I87</f>
        <v>1.6436449666088366</v>
      </c>
      <c r="K87" s="30">
        <f t="shared" ref="K87:K93" si="46">(1-(J87/3.89))*100</f>
        <v>57.746916025479777</v>
      </c>
      <c r="L87" s="2">
        <v>234.3</v>
      </c>
      <c r="M87" s="33">
        <f t="shared" ref="M87:M93" si="47">2.8*(L87)/3.14*(H87^2)</f>
        <v>234.75367643312103</v>
      </c>
      <c r="O87">
        <v>2</v>
      </c>
      <c r="P87">
        <v>234.3</v>
      </c>
      <c r="Q87" t="s">
        <v>100</v>
      </c>
      <c r="V87" s="29"/>
      <c r="W87" s="29"/>
      <c r="X87" s="29"/>
      <c r="Y87" s="29"/>
      <c r="Z87" s="29"/>
      <c r="AA87" s="29"/>
    </row>
    <row r="88" spans="3:27">
      <c r="E88" s="47">
        <v>3</v>
      </c>
      <c r="F88" s="2">
        <v>9.1000000000000004E-3</v>
      </c>
      <c r="G88" s="33">
        <f t="shared" si="43"/>
        <v>2.04</v>
      </c>
      <c r="H88" s="2">
        <v>1.02</v>
      </c>
      <c r="I88" s="32">
        <f>(4/3)*3.14159*((H88/10)^3)</f>
        <v>4.4451739209600011E-3</v>
      </c>
      <c r="J88" s="31">
        <f t="shared" si="45"/>
        <v>2.0471639944370774</v>
      </c>
      <c r="K88" s="30">
        <f t="shared" si="46"/>
        <v>47.373676235550711</v>
      </c>
      <c r="L88" s="2">
        <v>226.3</v>
      </c>
      <c r="M88" s="33">
        <f t="shared" si="47"/>
        <v>209.94874394904457</v>
      </c>
      <c r="O88">
        <v>3</v>
      </c>
      <c r="P88">
        <v>226.3</v>
      </c>
      <c r="Q88" t="s">
        <v>100</v>
      </c>
      <c r="V88" s="29"/>
      <c r="W88" s="29"/>
      <c r="X88" s="29"/>
      <c r="Y88" s="29"/>
      <c r="Z88" s="29"/>
      <c r="AA88" s="29"/>
    </row>
    <row r="89" spans="3:27">
      <c r="E89" s="47">
        <v>4</v>
      </c>
      <c r="F89" s="2">
        <v>8.8000000000000005E-3</v>
      </c>
      <c r="G89" s="33">
        <f t="shared" si="43"/>
        <v>2.02</v>
      </c>
      <c r="H89" s="2">
        <v>1.01</v>
      </c>
      <c r="I89" s="32">
        <f t="shared" si="44"/>
        <v>4.3157110914533335E-3</v>
      </c>
      <c r="J89" s="31">
        <f t="shared" si="45"/>
        <v>2.0390614231400193</v>
      </c>
      <c r="K89" s="30">
        <f t="shared" si="46"/>
        <v>47.581968556811852</v>
      </c>
      <c r="L89" s="2">
        <v>208</v>
      </c>
      <c r="M89" s="33">
        <f t="shared" si="47"/>
        <v>189.20580891719743</v>
      </c>
      <c r="O89">
        <v>4</v>
      </c>
      <c r="P89">
        <v>208</v>
      </c>
      <c r="Q89" t="s">
        <v>100</v>
      </c>
      <c r="V89" s="29"/>
      <c r="W89" s="29"/>
      <c r="X89" s="29"/>
      <c r="Y89" s="29"/>
      <c r="Z89" s="29"/>
      <c r="AA89" s="29"/>
    </row>
    <row r="90" spans="3:27">
      <c r="E90" s="47">
        <v>5</v>
      </c>
      <c r="F90" s="2">
        <v>8.8000000000000005E-3</v>
      </c>
      <c r="G90" s="33">
        <f t="shared" si="43"/>
        <v>2.04</v>
      </c>
      <c r="H90" s="2">
        <v>1.02</v>
      </c>
      <c r="I90" s="32">
        <f t="shared" si="44"/>
        <v>4.4451739209600011E-3</v>
      </c>
      <c r="J90" s="31">
        <f t="shared" si="45"/>
        <v>1.9796750715435472</v>
      </c>
      <c r="K90" s="30">
        <f t="shared" si="46"/>
        <v>49.108609986027062</v>
      </c>
      <c r="L90" s="2">
        <v>281.7</v>
      </c>
      <c r="M90" s="33">
        <f t="shared" si="47"/>
        <v>261.345829299363</v>
      </c>
      <c r="O90">
        <v>5</v>
      </c>
      <c r="P90">
        <v>281.7</v>
      </c>
      <c r="Q90" t="s">
        <v>100</v>
      </c>
      <c r="V90" s="29"/>
      <c r="W90" s="29"/>
      <c r="X90" s="29"/>
      <c r="Y90" s="29"/>
      <c r="Z90" s="29"/>
      <c r="AA90" s="29"/>
    </row>
    <row r="91" spans="3:27">
      <c r="E91" s="47">
        <v>6</v>
      </c>
      <c r="F91" s="2">
        <v>8.8000000000000005E-3</v>
      </c>
      <c r="G91" s="33">
        <f t="shared" si="43"/>
        <v>1.96</v>
      </c>
      <c r="H91" s="2">
        <v>0.98</v>
      </c>
      <c r="I91" s="32">
        <f t="shared" si="44"/>
        <v>3.9424525003733338E-3</v>
      </c>
      <c r="J91" s="31">
        <f t="shared" si="45"/>
        <v>2.2321131324135615</v>
      </c>
      <c r="K91" s="30">
        <f t="shared" si="46"/>
        <v>42.619199680885309</v>
      </c>
      <c r="L91" s="2">
        <v>4</v>
      </c>
      <c r="M91" s="33">
        <f t="shared" si="47"/>
        <v>3.4256305732484069</v>
      </c>
      <c r="O91">
        <v>6</v>
      </c>
      <c r="P91">
        <v>4</v>
      </c>
      <c r="Q91" t="s">
        <v>100</v>
      </c>
      <c r="R91" t="s">
        <v>103</v>
      </c>
      <c r="V91" s="29"/>
      <c r="W91" s="29"/>
      <c r="X91" s="29"/>
      <c r="Y91" s="29"/>
      <c r="Z91" s="29"/>
      <c r="AA91" s="29"/>
    </row>
    <row r="92" spans="3:27">
      <c r="E92" s="47">
        <v>7</v>
      </c>
      <c r="F92" s="2">
        <v>8.9999999999999993E-3</v>
      </c>
      <c r="G92" s="33">
        <f t="shared" si="43"/>
        <v>1.9</v>
      </c>
      <c r="H92" s="2">
        <v>0.95</v>
      </c>
      <c r="I92" s="32">
        <f t="shared" si="44"/>
        <v>3.5913609683333333E-3</v>
      </c>
      <c r="J92" s="31">
        <f>F92/I92</f>
        <v>2.506013758950187</v>
      </c>
      <c r="K92" s="30">
        <f t="shared" si="46"/>
        <v>35.578052469146868</v>
      </c>
      <c r="L92" s="2">
        <v>270.3</v>
      </c>
      <c r="M92" s="33">
        <f t="shared" si="47"/>
        <v>217.53124203821656</v>
      </c>
      <c r="O92">
        <v>7</v>
      </c>
      <c r="P92">
        <v>270.3</v>
      </c>
      <c r="Q92" t="s">
        <v>100</v>
      </c>
      <c r="V92" s="29"/>
      <c r="W92" s="29"/>
      <c r="X92" s="29"/>
      <c r="Y92" s="29"/>
      <c r="Z92" s="29"/>
      <c r="AA92" s="29"/>
    </row>
    <row r="93" spans="3:27">
      <c r="E93" s="47">
        <v>8</v>
      </c>
      <c r="F93" s="2">
        <v>9.2999999999999992E-3</v>
      </c>
      <c r="G93" s="33">
        <f t="shared" si="43"/>
        <v>1.96</v>
      </c>
      <c r="H93" s="2">
        <v>0.98</v>
      </c>
      <c r="I93" s="32">
        <f>(4/3)*3.14159*((H93/10)^3)</f>
        <v>3.9424525003733338E-3</v>
      </c>
      <c r="J93" s="31">
        <f t="shared" si="45"/>
        <v>2.3589377422097866</v>
      </c>
      <c r="K93" s="30">
        <f t="shared" si="46"/>
        <v>39.358926935481065</v>
      </c>
      <c r="L93" s="2">
        <v>263</v>
      </c>
      <c r="M93" s="33">
        <f t="shared" si="47"/>
        <v>225.23521019108276</v>
      </c>
      <c r="O93">
        <v>8</v>
      </c>
      <c r="P93">
        <v>263</v>
      </c>
      <c r="Q93" t="s">
        <v>100</v>
      </c>
      <c r="V93" s="29"/>
      <c r="W93" s="29"/>
      <c r="X93" s="29"/>
      <c r="Y93" s="29"/>
      <c r="Z93" s="29"/>
      <c r="AA93" s="29"/>
    </row>
    <row r="94" spans="3:27">
      <c r="E94" s="33" t="s">
        <v>102</v>
      </c>
      <c r="F94" s="80">
        <f>AVERAGE(F86:F93)</f>
        <v>8.8625000000000006E-3</v>
      </c>
      <c r="G94" s="51">
        <f>AVERAGE(G86:G93)</f>
        <v>2.0150000000000001</v>
      </c>
      <c r="H94" s="51">
        <f t="shared" ref="H94:M94" si="48">AVERAGE(H86:H93)</f>
        <v>1.0075000000000001</v>
      </c>
      <c r="I94" s="51">
        <f t="shared" si="48"/>
        <v>4.2978815210066666E-3</v>
      </c>
      <c r="J94" s="51">
        <f t="shared" si="48"/>
        <v>2.0869348357273632</v>
      </c>
      <c r="K94" s="51">
        <f t="shared" si="48"/>
        <v>46.351289569990662</v>
      </c>
      <c r="L94" s="51">
        <f t="shared" si="48"/>
        <v>233.45</v>
      </c>
      <c r="M94" s="51">
        <f t="shared" si="48"/>
        <v>213.49376130573248</v>
      </c>
      <c r="V94" s="29"/>
      <c r="W94" s="29"/>
      <c r="X94" s="29"/>
      <c r="Y94" s="29"/>
      <c r="Z94" s="29"/>
      <c r="AA94" s="29"/>
    </row>
    <row r="95" spans="3:27">
      <c r="E95" s="33" t="s">
        <v>76</v>
      </c>
      <c r="F95" s="80">
        <f>STDEV(F86:F93)</f>
        <v>3.204349722308275E-4</v>
      </c>
      <c r="G95" s="51">
        <f>STDEV(G86:G93)</f>
        <v>7.1514234347336225E-2</v>
      </c>
      <c r="H95" s="51">
        <f t="shared" ref="H95:M95" si="49">STDEV(H86:H93)</f>
        <v>3.5757117173668113E-2</v>
      </c>
      <c r="I95" s="51">
        <f t="shared" si="49"/>
        <v>4.5425026132569796E-4</v>
      </c>
      <c r="J95" s="51">
        <f>STDEV(J86:J93)</f>
        <v>0.27302638451626177</v>
      </c>
      <c r="K95" s="51">
        <f t="shared" si="49"/>
        <v>7.018673123811352</v>
      </c>
      <c r="L95" s="51">
        <f t="shared" si="49"/>
        <v>106.49140810412833</v>
      </c>
      <c r="M95" s="51">
        <f t="shared" si="49"/>
        <v>100.73953412899559</v>
      </c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  <c r="AA95" s="29"/>
    </row>
    <row r="96" spans="3:27">
      <c r="G96" s="29"/>
      <c r="H96" s="29"/>
      <c r="I96" s="29"/>
      <c r="J96" s="29"/>
      <c r="K96" s="29"/>
      <c r="L96" s="29"/>
      <c r="M96" s="29"/>
      <c r="P96" s="29"/>
      <c r="Q96" s="29"/>
      <c r="R96" s="29"/>
      <c r="S96" s="29"/>
      <c r="T96" s="29"/>
      <c r="U96" s="29"/>
      <c r="V96" s="29"/>
      <c r="W96" s="29"/>
      <c r="X96" s="29"/>
      <c r="Y96" s="29"/>
      <c r="Z96" s="29"/>
      <c r="AA96" s="29"/>
    </row>
    <row r="97" spans="3:27">
      <c r="E97" s="29"/>
      <c r="F97" s="29"/>
      <c r="G97" s="29"/>
      <c r="H97" s="29"/>
      <c r="I97" s="29"/>
      <c r="J97" s="29"/>
      <c r="K97" s="29"/>
      <c r="L97" s="29"/>
      <c r="M97" s="29"/>
      <c r="P97" s="29"/>
      <c r="Q97" s="29"/>
      <c r="R97" s="29"/>
      <c r="S97" s="29"/>
      <c r="T97" s="29"/>
      <c r="U97" s="29"/>
      <c r="V97" s="29"/>
      <c r="W97" s="29"/>
      <c r="X97" s="29"/>
      <c r="Y97" s="29"/>
      <c r="Z97" s="29"/>
      <c r="AA97" s="29"/>
    </row>
    <row r="98" spans="3:27">
      <c r="C98" s="52" t="s">
        <v>93</v>
      </c>
      <c r="D98" s="53">
        <v>8</v>
      </c>
      <c r="E98" s="33"/>
      <c r="F98" s="47" t="s">
        <v>71</v>
      </c>
      <c r="G98" s="47" t="s">
        <v>72</v>
      </c>
      <c r="H98" s="47" t="s">
        <v>94</v>
      </c>
      <c r="I98" s="47" t="s">
        <v>95</v>
      </c>
      <c r="J98" s="47" t="s">
        <v>73</v>
      </c>
      <c r="K98" s="47" t="s">
        <v>96</v>
      </c>
      <c r="L98" s="47" t="s">
        <v>97</v>
      </c>
      <c r="M98" s="47" t="s">
        <v>98</v>
      </c>
      <c r="N98" s="29"/>
      <c r="P98" t="s">
        <v>99</v>
      </c>
      <c r="R98" s="29"/>
      <c r="S98" s="29"/>
      <c r="T98" s="29"/>
      <c r="U98" s="29"/>
      <c r="V98" s="29"/>
      <c r="W98" s="29"/>
      <c r="X98" s="29"/>
      <c r="Y98" s="29"/>
      <c r="Z98" s="29"/>
      <c r="AA98" s="29"/>
    </row>
    <row r="99" spans="3:27">
      <c r="E99" s="47">
        <v>1</v>
      </c>
      <c r="F99" s="2">
        <v>1.2E-2</v>
      </c>
      <c r="G99" s="33">
        <f>H99*2</f>
        <v>1.9</v>
      </c>
      <c r="H99" s="2">
        <v>0.95</v>
      </c>
      <c r="I99" s="32">
        <f>(4/3)*3.14159*((H99/10)^3)</f>
        <v>3.5913609683333333E-3</v>
      </c>
      <c r="J99" s="31">
        <f t="shared" ref="J99:J105" si="50">F99/I99</f>
        <v>3.3413516786002493</v>
      </c>
      <c r="K99" s="30">
        <f t="shared" ref="K99:K106" si="51">(1-(J99/3.89))*100</f>
        <v>14.104069958862485</v>
      </c>
      <c r="L99" s="2">
        <v>728</v>
      </c>
      <c r="M99" s="33">
        <f>2.8*(L99)/3.14*(H99^2)</f>
        <v>585.87770700636929</v>
      </c>
      <c r="N99" s="29"/>
      <c r="O99">
        <v>1</v>
      </c>
      <c r="P99">
        <v>728</v>
      </c>
      <c r="Q99" t="s">
        <v>100</v>
      </c>
      <c r="R99" s="29"/>
      <c r="S99" s="29"/>
      <c r="T99" s="29"/>
      <c r="U99" s="29"/>
      <c r="V99" s="29"/>
      <c r="W99" s="29"/>
      <c r="X99" s="29"/>
      <c r="Y99" s="29"/>
      <c r="Z99" s="29"/>
      <c r="AA99" s="29"/>
    </row>
    <row r="100" spans="3:27">
      <c r="E100" s="47">
        <v>2</v>
      </c>
      <c r="F100" s="2">
        <v>1.2E-2</v>
      </c>
      <c r="G100" s="33">
        <f t="shared" ref="G100:G106" si="52">H100*2</f>
        <v>2</v>
      </c>
      <c r="H100" s="2">
        <v>1</v>
      </c>
      <c r="I100" s="32">
        <f>(4/3)*3.14159*((H100/10)^3)</f>
        <v>4.1887866666666671E-3</v>
      </c>
      <c r="J100" s="31">
        <f t="shared" si="50"/>
        <v>2.8647913954398887</v>
      </c>
      <c r="K100" s="30">
        <f t="shared" si="51"/>
        <v>26.354976980979728</v>
      </c>
      <c r="L100" s="2">
        <v>483</v>
      </c>
      <c r="M100" s="33">
        <f t="shared" ref="M100:M106" si="53">2.8*(L100)/3.14*(H100^2)</f>
        <v>430.70063694267509</v>
      </c>
      <c r="N100" s="29"/>
      <c r="O100">
        <v>2</v>
      </c>
      <c r="P100">
        <v>483</v>
      </c>
      <c r="Q100" t="s">
        <v>100</v>
      </c>
      <c r="R100" s="29"/>
      <c r="S100" s="29"/>
      <c r="T100" s="29"/>
      <c r="U100" s="29"/>
      <c r="V100" s="29"/>
      <c r="W100" s="29"/>
      <c r="X100" s="29"/>
      <c r="Y100" s="29"/>
      <c r="Z100" s="29"/>
      <c r="AA100" s="29"/>
    </row>
    <row r="101" spans="3:27">
      <c r="E101" s="47">
        <v>3</v>
      </c>
      <c r="F101" s="2">
        <v>1.2E-2</v>
      </c>
      <c r="G101" s="33">
        <f t="shared" si="52"/>
        <v>1.98</v>
      </c>
      <c r="H101" s="2">
        <v>0.99</v>
      </c>
      <c r="I101" s="32">
        <f>(4/3)*3.14159*((H101/10)^3)</f>
        <v>4.0643755138799996E-3</v>
      </c>
      <c r="J101" s="31">
        <f t="shared" si="50"/>
        <v>2.9524830958703339</v>
      </c>
      <c r="K101" s="30">
        <f t="shared" si="51"/>
        <v>24.100691622870595</v>
      </c>
      <c r="L101" s="2">
        <v>348.3</v>
      </c>
      <c r="M101" s="33"/>
      <c r="N101" s="29"/>
      <c r="O101">
        <v>3</v>
      </c>
      <c r="P101">
        <v>348.3</v>
      </c>
      <c r="Q101" t="s">
        <v>100</v>
      </c>
      <c r="R101" s="29"/>
      <c r="S101" s="29"/>
      <c r="T101" s="29"/>
      <c r="U101" s="29"/>
      <c r="V101" s="29"/>
      <c r="W101" s="29"/>
      <c r="X101" s="29"/>
      <c r="Y101" s="29"/>
      <c r="Z101" s="29"/>
      <c r="AA101" s="29"/>
    </row>
    <row r="102" spans="3:27">
      <c r="E102" s="47">
        <v>4</v>
      </c>
      <c r="F102" s="2">
        <v>1.1599999999999999E-2</v>
      </c>
      <c r="G102" s="33">
        <f t="shared" si="52"/>
        <v>1.88</v>
      </c>
      <c r="H102" s="2">
        <v>0.94</v>
      </c>
      <c r="I102" s="32">
        <f t="shared" ref="I102:I104" si="54">(4/3)*3.14159*((H102/10)^3)</f>
        <v>3.4791391847466663E-3</v>
      </c>
      <c r="J102" s="31">
        <f t="shared" si="50"/>
        <v>3.3341580730247946</v>
      </c>
      <c r="K102" s="30">
        <f t="shared" si="51"/>
        <v>14.288995552061834</v>
      </c>
      <c r="L102" s="2">
        <v>618</v>
      </c>
      <c r="M102" s="33">
        <f t="shared" si="53"/>
        <v>486.93676433121004</v>
      </c>
      <c r="N102" s="29"/>
      <c r="O102">
        <v>4</v>
      </c>
      <c r="P102">
        <v>618</v>
      </c>
      <c r="Q102" t="s">
        <v>100</v>
      </c>
      <c r="R102" s="29"/>
      <c r="S102" s="29"/>
      <c r="T102" s="29"/>
      <c r="U102" s="29"/>
      <c r="V102" s="29"/>
      <c r="W102" s="29"/>
      <c r="X102" s="29"/>
      <c r="Y102" s="29"/>
      <c r="Z102" s="29"/>
      <c r="AA102" s="29"/>
    </row>
    <row r="103" spans="3:27">
      <c r="E103" s="47">
        <v>5</v>
      </c>
      <c r="F103" s="2">
        <v>1.2E-2</v>
      </c>
      <c r="G103" s="33">
        <f t="shared" si="52"/>
        <v>2.12</v>
      </c>
      <c r="H103" s="2">
        <v>1.06</v>
      </c>
      <c r="I103" s="32">
        <f>(4/3)*3.14159*((H103/10)^3)</f>
        <v>4.988911940586668E-3</v>
      </c>
      <c r="J103" s="31">
        <f t="shared" si="50"/>
        <v>2.4053340974763464</v>
      </c>
      <c r="K103" s="30">
        <f t="shared" si="51"/>
        <v>38.166218573872847</v>
      </c>
      <c r="L103" s="2">
        <v>499.6</v>
      </c>
      <c r="M103" s="33">
        <f t="shared" si="53"/>
        <v>500.56737834394903</v>
      </c>
      <c r="N103" s="29"/>
      <c r="O103">
        <v>5</v>
      </c>
      <c r="P103">
        <v>499.6</v>
      </c>
      <c r="Q103" t="s">
        <v>100</v>
      </c>
      <c r="R103" s="29"/>
      <c r="S103" s="29"/>
      <c r="T103" s="29"/>
      <c r="U103" s="29"/>
      <c r="V103" s="29"/>
      <c r="W103" s="29"/>
      <c r="X103" s="29"/>
      <c r="Y103" s="29"/>
      <c r="Z103" s="29"/>
      <c r="AA103" s="29"/>
    </row>
    <row r="104" spans="3:27">
      <c r="E104" s="47">
        <v>6</v>
      </c>
      <c r="F104" s="2">
        <v>1.21E-2</v>
      </c>
      <c r="G104" s="33">
        <f t="shared" si="52"/>
        <v>2.12</v>
      </c>
      <c r="H104" s="2">
        <v>1.06</v>
      </c>
      <c r="I104" s="32">
        <f t="shared" si="54"/>
        <v>4.988911940586668E-3</v>
      </c>
      <c r="J104" s="31">
        <f t="shared" si="50"/>
        <v>2.425378548288649</v>
      </c>
      <c r="K104" s="30">
        <f t="shared" si="51"/>
        <v>37.650937061988465</v>
      </c>
      <c r="L104" s="2">
        <v>791</v>
      </c>
      <c r="M104" s="33">
        <f t="shared" si="53"/>
        <v>792.53161783439486</v>
      </c>
      <c r="N104" s="29"/>
      <c r="O104">
        <v>6</v>
      </c>
      <c r="P104">
        <v>791</v>
      </c>
      <c r="Q104" t="s">
        <v>100</v>
      </c>
      <c r="R104" s="29"/>
      <c r="S104" s="29"/>
      <c r="T104" s="29"/>
      <c r="U104" s="29"/>
      <c r="V104" s="29"/>
      <c r="W104" s="29"/>
      <c r="X104" s="29"/>
      <c r="Y104" s="29"/>
      <c r="Z104" s="29"/>
      <c r="AA104" s="29"/>
    </row>
    <row r="105" spans="3:27">
      <c r="E105" s="47">
        <v>7</v>
      </c>
      <c r="F105" s="2">
        <v>1.24E-2</v>
      </c>
      <c r="G105" s="33">
        <f t="shared" si="52"/>
        <v>2.1</v>
      </c>
      <c r="H105" s="2">
        <v>1.05</v>
      </c>
      <c r="I105" s="32">
        <f>(4/3)*3.14159*((H105/10)^3)</f>
        <v>4.849044165E-3</v>
      </c>
      <c r="J105" s="31">
        <f t="shared" si="50"/>
        <v>2.5572050033081104</v>
      </c>
      <c r="K105" s="30">
        <f t="shared" si="51"/>
        <v>34.262082177169397</v>
      </c>
      <c r="L105" s="2">
        <v>476.8</v>
      </c>
      <c r="M105" s="33">
        <f t="shared" si="53"/>
        <v>468.752101910828</v>
      </c>
      <c r="N105" s="29"/>
      <c r="O105">
        <v>7</v>
      </c>
      <c r="P105">
        <v>476.8</v>
      </c>
      <c r="Q105" t="s">
        <v>100</v>
      </c>
      <c r="R105" s="29"/>
      <c r="S105" s="29"/>
      <c r="T105" s="29"/>
      <c r="U105" s="29"/>
      <c r="V105" s="29"/>
      <c r="W105" s="29"/>
      <c r="X105" s="29"/>
      <c r="Y105" s="29"/>
      <c r="Z105" s="29"/>
      <c r="AA105" s="29"/>
    </row>
    <row r="106" spans="3:27">
      <c r="E106" s="47">
        <v>8</v>
      </c>
      <c r="F106" s="13">
        <v>1.1900000000000001E-2</v>
      </c>
      <c r="G106" s="38">
        <f t="shared" si="52"/>
        <v>2.06</v>
      </c>
      <c r="H106" s="13">
        <v>1.03</v>
      </c>
      <c r="I106" s="50">
        <f>(4/3)*3.14159*((H106/10)^3)</f>
        <v>4.5772002879066681E-3</v>
      </c>
      <c r="J106" s="36">
        <f>F106/I106</f>
        <v>2.5998425350624834</v>
      </c>
      <c r="K106" s="37">
        <f t="shared" si="51"/>
        <v>33.166001669344901</v>
      </c>
      <c r="L106" s="13">
        <v>600</v>
      </c>
      <c r="M106" s="38">
        <f t="shared" si="53"/>
        <v>567.6152866242038</v>
      </c>
      <c r="N106" s="29"/>
      <c r="O106">
        <v>8</v>
      </c>
      <c r="P106">
        <v>600</v>
      </c>
      <c r="Q106" t="s">
        <v>100</v>
      </c>
      <c r="R106" s="29"/>
      <c r="S106" s="29"/>
      <c r="T106" s="29"/>
      <c r="U106" s="29"/>
      <c r="V106" s="29"/>
      <c r="W106" s="29"/>
      <c r="X106" s="29"/>
      <c r="Y106" s="29"/>
      <c r="Z106" s="29"/>
      <c r="AA106" s="29"/>
    </row>
    <row r="107" spans="3:27">
      <c r="E107" s="33" t="s">
        <v>102</v>
      </c>
      <c r="F107" s="80">
        <f>AVERAGE(F99:F106)</f>
        <v>1.2E-2</v>
      </c>
      <c r="G107" s="51">
        <f>AVERAGE(G99:G106)</f>
        <v>2.02</v>
      </c>
      <c r="H107" s="51">
        <f t="shared" ref="H107:M107" si="55">AVERAGE(H99:H106)</f>
        <v>1.01</v>
      </c>
      <c r="I107" s="51">
        <f t="shared" si="55"/>
        <v>4.3409663334633341E-3</v>
      </c>
      <c r="J107" s="51">
        <f t="shared" si="55"/>
        <v>2.8100680533838571</v>
      </c>
      <c r="K107" s="51">
        <f t="shared" si="55"/>
        <v>27.76174669964378</v>
      </c>
      <c r="L107" s="51">
        <f t="shared" si="55"/>
        <v>568.08750000000009</v>
      </c>
      <c r="M107" s="51">
        <f t="shared" si="55"/>
        <v>547.56878471337575</v>
      </c>
      <c r="N107" s="29"/>
      <c r="O107" s="29"/>
      <c r="P107" s="29"/>
      <c r="Q107" s="29"/>
      <c r="R107" s="29"/>
      <c r="S107" s="29"/>
      <c r="T107" s="29"/>
      <c r="U107" s="29"/>
      <c r="V107" s="29"/>
      <c r="W107" s="29"/>
      <c r="X107" s="29"/>
      <c r="Y107" s="29"/>
      <c r="Z107" s="29"/>
      <c r="AA107" s="29"/>
    </row>
    <row r="108" spans="3:27">
      <c r="E108" s="33" t="s">
        <v>76</v>
      </c>
      <c r="F108" s="80">
        <f>STDEV(F99:F106)</f>
        <v>2.2038926600773592E-4</v>
      </c>
      <c r="G108" s="51">
        <f>STDEV(G99:G106)</f>
        <v>9.5618288746751573E-2</v>
      </c>
      <c r="H108" s="51">
        <f t="shared" ref="H108:M108" si="56">STDEV(H99:H106)</f>
        <v>4.7809144373375786E-2</v>
      </c>
      <c r="I108" s="51">
        <f t="shared" si="56"/>
        <v>6.0449884247469176E-4</v>
      </c>
      <c r="J108" s="51">
        <f t="shared" si="56"/>
        <v>0.37799081784851707</v>
      </c>
      <c r="K108" s="51">
        <f t="shared" si="56"/>
        <v>9.7169876053604352</v>
      </c>
      <c r="L108" s="51">
        <f t="shared" si="56"/>
        <v>145.08225684073136</v>
      </c>
      <c r="M108" s="51">
        <f t="shared" si="56"/>
        <v>120.85241200493755</v>
      </c>
      <c r="N108" s="29"/>
      <c r="O108" s="29"/>
      <c r="P108" s="29"/>
      <c r="Q108" s="29"/>
      <c r="R108" s="29"/>
      <c r="S108" s="29"/>
      <c r="T108" s="29"/>
      <c r="U108" s="29"/>
      <c r="V108" s="29"/>
      <c r="W108" s="29"/>
      <c r="X108" s="29"/>
      <c r="Y108" s="29"/>
      <c r="Z108" s="29"/>
      <c r="AA108" s="29"/>
    </row>
    <row r="109" spans="3:27">
      <c r="E109" s="29"/>
      <c r="F109" s="29"/>
      <c r="G109" s="29"/>
      <c r="H109" s="29"/>
      <c r="I109" s="29"/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X109" s="29"/>
      <c r="Y109" s="29"/>
      <c r="Z109" s="29"/>
      <c r="AA109" s="29"/>
    </row>
    <row r="110" spans="3:27">
      <c r="G110" s="29"/>
      <c r="H110" s="29"/>
      <c r="I110" s="29"/>
      <c r="J110" s="29"/>
      <c r="K110" s="29"/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/>
      <c r="Z110" s="29"/>
      <c r="AA110" s="29"/>
    </row>
    <row r="111" spans="3:27">
      <c r="E111" s="29"/>
      <c r="F111" s="29"/>
      <c r="G111" s="29"/>
      <c r="H111" s="29"/>
      <c r="I111" s="29"/>
      <c r="J111" s="29"/>
      <c r="K111" s="29"/>
      <c r="L111" s="29"/>
      <c r="M111" s="29"/>
    </row>
    <row r="112" spans="3:27">
      <c r="C112" s="52" t="s">
        <v>93</v>
      </c>
      <c r="D112" s="52">
        <v>9</v>
      </c>
      <c r="E112" s="33"/>
      <c r="F112" s="47" t="s">
        <v>71</v>
      </c>
      <c r="G112" s="47" t="s">
        <v>72</v>
      </c>
      <c r="H112" s="47" t="s">
        <v>94</v>
      </c>
      <c r="I112" s="47" t="s">
        <v>95</v>
      </c>
      <c r="J112" s="47" t="s">
        <v>73</v>
      </c>
      <c r="K112" s="47" t="s">
        <v>96</v>
      </c>
      <c r="L112" s="47" t="s">
        <v>97</v>
      </c>
      <c r="M112" s="47" t="s">
        <v>98</v>
      </c>
      <c r="P112" t="s">
        <v>99</v>
      </c>
    </row>
    <row r="113" spans="3:16">
      <c r="E113" s="47">
        <v>1</v>
      </c>
      <c r="F113" s="2">
        <v>1.26E-2</v>
      </c>
      <c r="G113" s="2">
        <v>2.44</v>
      </c>
      <c r="H113" s="2">
        <v>1.22</v>
      </c>
      <c r="I113" s="32">
        <f>(4/3)*3.14159*((H113/10)^3)</f>
        <v>7.6061998910933321E-3</v>
      </c>
      <c r="J113" s="31">
        <f>F113/I113</f>
        <v>1.656543369936186</v>
      </c>
      <c r="K113" s="30">
        <f t="shared" ref="K113:K119" si="57">(1-(J113/3.89))*100</f>
        <v>57.415337533774149</v>
      </c>
      <c r="L113" s="2">
        <v>292.7</v>
      </c>
      <c r="M113" s="38">
        <f t="shared" ref="M113:M120" si="58">2.8*(L113)/3.14*(H113^2)</f>
        <v>388.48188025477702</v>
      </c>
      <c r="O113">
        <v>1</v>
      </c>
      <c r="P113">
        <v>292.7</v>
      </c>
    </row>
    <row r="114" spans="3:16">
      <c r="E114" s="47">
        <v>2</v>
      </c>
      <c r="F114" s="2">
        <v>1.5900000000000001E-2</v>
      </c>
      <c r="G114" s="2">
        <v>2.57</v>
      </c>
      <c r="H114" s="2">
        <v>1.29</v>
      </c>
      <c r="I114" s="32">
        <f t="shared" ref="I114:I120" si="59">(4/3)*3.14159*((H114/10)^3)</f>
        <v>8.992022260679999E-3</v>
      </c>
      <c r="J114" s="31">
        <f t="shared" ref="J114:J119" si="60">F114/I114</f>
        <v>1.7682340567067951</v>
      </c>
      <c r="K114" s="30">
        <f t="shared" si="57"/>
        <v>54.544111652781609</v>
      </c>
      <c r="L114" s="2">
        <v>300.7</v>
      </c>
      <c r="M114" s="38">
        <f>2.8*(L114)/3.14*(H114^2)</f>
        <v>446.21198598726113</v>
      </c>
      <c r="O114">
        <v>2</v>
      </c>
      <c r="P114">
        <v>300.7</v>
      </c>
    </row>
    <row r="115" spans="3:16">
      <c r="E115" s="47">
        <v>3</v>
      </c>
      <c r="F115" s="2">
        <v>1.2200000000000001E-2</v>
      </c>
      <c r="G115" s="2">
        <v>2.5099999999999998</v>
      </c>
      <c r="H115" s="2">
        <v>1.26</v>
      </c>
      <c r="I115" s="32">
        <f t="shared" si="59"/>
        <v>8.3791483171199999E-3</v>
      </c>
      <c r="J115" s="31">
        <f t="shared" si="60"/>
        <v>1.4559952322449481</v>
      </c>
      <c r="K115" s="30">
        <f t="shared" si="57"/>
        <v>62.570816651800818</v>
      </c>
      <c r="L115" s="2">
        <v>499</v>
      </c>
      <c r="M115" s="38">
        <f t="shared" si="58"/>
        <v>706.43143949044577</v>
      </c>
      <c r="O115">
        <v>3</v>
      </c>
      <c r="P115">
        <v>499</v>
      </c>
    </row>
    <row r="116" spans="3:16">
      <c r="E116" s="47">
        <v>4</v>
      </c>
      <c r="F116" s="2">
        <v>1.54E-2</v>
      </c>
      <c r="G116" s="2">
        <v>2.4</v>
      </c>
      <c r="H116" s="2">
        <v>1.2</v>
      </c>
      <c r="I116" s="32">
        <f t="shared" si="59"/>
        <v>7.2382233599999988E-3</v>
      </c>
      <c r="J116" s="31">
        <f t="shared" si="60"/>
        <v>2.1275939182954424</v>
      </c>
      <c r="K116" s="30">
        <f t="shared" si="57"/>
        <v>45.306068938420509</v>
      </c>
      <c r="L116" s="2">
        <v>350</v>
      </c>
      <c r="M116" s="38">
        <f t="shared" si="58"/>
        <v>449.4267515923566</v>
      </c>
      <c r="O116">
        <v>4</v>
      </c>
      <c r="P116">
        <v>350</v>
      </c>
    </row>
    <row r="117" spans="3:16">
      <c r="E117" s="47">
        <v>5</v>
      </c>
      <c r="F117" s="2">
        <v>1.5800000000000002E-2</v>
      </c>
      <c r="G117" s="2">
        <v>2.6</v>
      </c>
      <c r="H117" s="2">
        <v>1.3</v>
      </c>
      <c r="I117" s="32">
        <f t="shared" si="59"/>
        <v>9.2027643066666664E-3</v>
      </c>
      <c r="J117" s="31">
        <f t="shared" si="60"/>
        <v>1.7168754380196574</v>
      </c>
      <c r="K117" s="30">
        <f t="shared" si="57"/>
        <v>55.864384626744034</v>
      </c>
      <c r="L117" s="2">
        <v>235.7</v>
      </c>
      <c r="M117" s="38">
        <f>2.8*(L117)/3.14*(H117^2)</f>
        <v>355.20140127388532</v>
      </c>
      <c r="O117">
        <v>5</v>
      </c>
      <c r="P117">
        <v>235.7</v>
      </c>
    </row>
    <row r="118" spans="3:16">
      <c r="E118" s="47">
        <v>6</v>
      </c>
      <c r="F118" s="2">
        <v>1.44E-2</v>
      </c>
      <c r="G118" s="2">
        <v>2.48</v>
      </c>
      <c r="H118" s="2">
        <v>1.24</v>
      </c>
      <c r="I118" s="32">
        <f t="shared" si="59"/>
        <v>7.9864411895466652E-3</v>
      </c>
      <c r="J118" s="31">
        <f t="shared" si="60"/>
        <v>1.8030559116678837</v>
      </c>
      <c r="K118" s="30">
        <f t="shared" si="57"/>
        <v>53.648948286172661</v>
      </c>
      <c r="L118" s="2">
        <v>319</v>
      </c>
      <c r="M118" s="38">
        <f t="shared" si="58"/>
        <v>437.38354140127387</v>
      </c>
      <c r="O118">
        <v>6</v>
      </c>
      <c r="P118">
        <v>319</v>
      </c>
    </row>
    <row r="119" spans="3:16">
      <c r="E119" s="47">
        <v>7</v>
      </c>
      <c r="F119" s="2">
        <v>1.37E-2</v>
      </c>
      <c r="G119" s="2">
        <v>2.4900000000000002</v>
      </c>
      <c r="H119" s="2">
        <v>1.25</v>
      </c>
      <c r="I119" s="32">
        <f t="shared" si="59"/>
        <v>8.1812239583333324E-3</v>
      </c>
      <c r="J119" s="31">
        <f t="shared" si="60"/>
        <v>1.6745660636811299</v>
      </c>
      <c r="K119" s="30">
        <f t="shared" si="57"/>
        <v>56.95202921128201</v>
      </c>
      <c r="L119" s="2">
        <v>383.3</v>
      </c>
      <c r="M119" s="38">
        <f t="shared" si="58"/>
        <v>534.05652866242031</v>
      </c>
      <c r="O119">
        <v>7</v>
      </c>
      <c r="P119">
        <v>383.3</v>
      </c>
    </row>
    <row r="120" spans="3:16">
      <c r="E120" s="47">
        <v>8</v>
      </c>
      <c r="F120" s="2">
        <v>1.54E-2</v>
      </c>
      <c r="G120" s="2">
        <v>2.42</v>
      </c>
      <c r="H120" s="2">
        <v>1.21</v>
      </c>
      <c r="I120" s="32">
        <f t="shared" si="59"/>
        <v>7.4206910959866649E-3</v>
      </c>
      <c r="J120" s="31">
        <f>F120/I120</f>
        <v>2.0752784074691895</v>
      </c>
      <c r="K120" s="30">
        <f>(1-(J120/3.89))*100</f>
        <v>46.650940682025976</v>
      </c>
      <c r="L120" s="2">
        <v>250.2</v>
      </c>
      <c r="M120" s="38">
        <f t="shared" si="58"/>
        <v>326.65283312101906</v>
      </c>
      <c r="O120">
        <v>8</v>
      </c>
      <c r="P120">
        <v>250.2</v>
      </c>
    </row>
    <row r="121" spans="3:16">
      <c r="E121" s="33" t="s">
        <v>102</v>
      </c>
      <c r="F121" s="80">
        <f>AVERAGE(F113:F120)</f>
        <v>1.4424999999999999E-2</v>
      </c>
      <c r="G121" s="51">
        <f>AVERAGE(G113:G120)</f>
        <v>2.4887500000000005</v>
      </c>
      <c r="H121" s="51">
        <f t="shared" ref="H121:M121" si="61">AVERAGE(H113:H120)</f>
        <v>1.2462499999999999</v>
      </c>
      <c r="I121" s="51">
        <f t="shared" si="61"/>
        <v>8.125839297428333E-3</v>
      </c>
      <c r="J121" s="51">
        <f t="shared" si="61"/>
        <v>1.7847677997526541</v>
      </c>
      <c r="K121" s="51">
        <f t="shared" si="61"/>
        <v>54.119079697875222</v>
      </c>
      <c r="L121" s="51">
        <f t="shared" si="61"/>
        <v>328.82499999999999</v>
      </c>
      <c r="M121" s="51">
        <f t="shared" si="61"/>
        <v>455.48079522292994</v>
      </c>
    </row>
    <row r="122" spans="3:16">
      <c r="E122" s="33" t="s">
        <v>76</v>
      </c>
      <c r="F122" s="80">
        <f>STDEV(F113:F120)</f>
        <v>1.4528297511113568E-3</v>
      </c>
      <c r="G122" s="51">
        <f>STDEV(G113:G120)</f>
        <v>7.0191065772544844E-2</v>
      </c>
      <c r="H122" s="51">
        <f t="shared" ref="H122:M122" si="62">STDEV(H113:H120)</f>
        <v>3.622844186547363E-2</v>
      </c>
      <c r="I122" s="51">
        <f t="shared" si="62"/>
        <v>7.1232279048812433E-4</v>
      </c>
      <c r="J122" s="51">
        <f t="shared" si="62"/>
        <v>0.22162409661719126</v>
      </c>
      <c r="K122" s="51">
        <f t="shared" si="62"/>
        <v>5.6972775479997884</v>
      </c>
      <c r="L122" s="51">
        <f t="shared" si="62"/>
        <v>84.02563809423215</v>
      </c>
      <c r="M122" s="51">
        <f t="shared" si="62"/>
        <v>119.96541161379884</v>
      </c>
    </row>
    <row r="123" spans="3:16">
      <c r="G123" s="29"/>
      <c r="H123" s="29"/>
      <c r="I123" s="29"/>
      <c r="J123" s="29"/>
      <c r="K123" s="29"/>
      <c r="L123" s="29"/>
      <c r="M123" s="29"/>
    </row>
    <row r="124" spans="3:16">
      <c r="E124" s="29"/>
      <c r="F124" s="29"/>
      <c r="G124" s="29"/>
      <c r="H124" s="29"/>
      <c r="I124" s="29"/>
      <c r="J124" s="29"/>
      <c r="K124" s="29"/>
      <c r="L124" s="29"/>
      <c r="M124" s="29"/>
    </row>
    <row r="125" spans="3:16">
      <c r="C125" s="52" t="s">
        <v>93</v>
      </c>
      <c r="D125" s="53">
        <v>10</v>
      </c>
      <c r="E125" s="33"/>
      <c r="F125" s="47" t="s">
        <v>71</v>
      </c>
      <c r="G125" s="47" t="s">
        <v>72</v>
      </c>
      <c r="H125" s="47" t="s">
        <v>94</v>
      </c>
      <c r="I125" s="47" t="s">
        <v>95</v>
      </c>
      <c r="J125" s="47" t="s">
        <v>73</v>
      </c>
      <c r="K125" s="47" t="s">
        <v>96</v>
      </c>
      <c r="L125" s="47" t="s">
        <v>97</v>
      </c>
      <c r="M125" s="47" t="s">
        <v>98</v>
      </c>
      <c r="P125" t="s">
        <v>99</v>
      </c>
    </row>
    <row r="126" spans="3:16">
      <c r="E126" s="47">
        <v>1</v>
      </c>
      <c r="F126" s="2">
        <v>1.0800000000000001E-2</v>
      </c>
      <c r="G126" s="2">
        <v>2.0499999999999998</v>
      </c>
      <c r="H126" s="2">
        <v>1.02</v>
      </c>
      <c r="I126" s="32">
        <f>(4/3)*3.14159*((H126/10)^3)</f>
        <v>4.4451739209600011E-3</v>
      </c>
      <c r="J126" s="31">
        <f>F126/I126</f>
        <v>2.4296012241670808</v>
      </c>
      <c r="K126" s="30">
        <f t="shared" ref="K126:K133" si="63">(1-(J126/3.89))*100</f>
        <v>37.542384982851395</v>
      </c>
      <c r="L126" s="2">
        <v>279</v>
      </c>
      <c r="M126" s="38">
        <f>2.8*(L126)/3.14*(H126^2)</f>
        <v>258.8409171974522</v>
      </c>
      <c r="O126">
        <v>1</v>
      </c>
      <c r="P126">
        <v>279</v>
      </c>
    </row>
    <row r="127" spans="3:16">
      <c r="E127" s="47">
        <v>2</v>
      </c>
      <c r="F127" s="2">
        <v>1.04E-2</v>
      </c>
      <c r="G127" s="2">
        <v>1.99</v>
      </c>
      <c r="H127" s="2">
        <v>0.99</v>
      </c>
      <c r="I127" s="32">
        <f t="shared" ref="I127:I133" si="64">(4/3)*3.14159*((H127/10)^3)</f>
        <v>4.0643755138799996E-3</v>
      </c>
      <c r="J127" s="31">
        <f t="shared" ref="J127:J133" si="65">F127/I127</f>
        <v>2.5588186830876225</v>
      </c>
      <c r="K127" s="30">
        <f t="shared" si="63"/>
        <v>34.22059940648785</v>
      </c>
      <c r="L127" s="2">
        <v>251</v>
      </c>
      <c r="M127" s="38">
        <f t="shared" ref="M127:M133" si="66">2.8*(L127)/3.14*(H127^2)</f>
        <v>219.36760509554136</v>
      </c>
      <c r="O127">
        <v>2</v>
      </c>
      <c r="P127">
        <v>251</v>
      </c>
    </row>
    <row r="128" spans="3:16">
      <c r="E128" s="47">
        <v>3</v>
      </c>
      <c r="F128" s="2">
        <v>1.06E-2</v>
      </c>
      <c r="G128" s="33">
        <v>2</v>
      </c>
      <c r="H128" s="2">
        <v>1</v>
      </c>
      <c r="I128" s="32">
        <f t="shared" si="64"/>
        <v>4.1887866666666671E-3</v>
      </c>
      <c r="J128" s="31">
        <f t="shared" si="65"/>
        <v>2.5305657326385682</v>
      </c>
      <c r="K128" s="30">
        <f t="shared" si="63"/>
        <v>34.946896333198765</v>
      </c>
      <c r="L128" s="2">
        <v>329.7</v>
      </c>
      <c r="M128" s="36">
        <f>2.8*(L128)/3.14*(H128^2)</f>
        <v>293.99999999999994</v>
      </c>
      <c r="O128">
        <v>3</v>
      </c>
      <c r="P128">
        <v>329.7</v>
      </c>
    </row>
    <row r="129" spans="3:16">
      <c r="E129" s="47">
        <v>4</v>
      </c>
      <c r="F129" s="2">
        <v>9.4999999999999998E-3</v>
      </c>
      <c r="G129" s="2">
        <v>1.96</v>
      </c>
      <c r="H129" s="2">
        <v>0.98</v>
      </c>
      <c r="I129" s="32">
        <f t="shared" si="64"/>
        <v>3.9424525003733338E-3</v>
      </c>
      <c r="J129" s="31">
        <f t="shared" si="65"/>
        <v>2.4096675861282764</v>
      </c>
      <c r="K129" s="30">
        <f t="shared" si="63"/>
        <v>38.054817837319376</v>
      </c>
      <c r="L129" s="2">
        <v>390.7</v>
      </c>
      <c r="M129" s="38">
        <f t="shared" si="66"/>
        <v>334.59846624203811</v>
      </c>
      <c r="O129">
        <v>4</v>
      </c>
      <c r="P129">
        <v>390.7</v>
      </c>
    </row>
    <row r="130" spans="3:16">
      <c r="E130" s="47">
        <v>5</v>
      </c>
      <c r="F130" s="2">
        <v>1.14E-2</v>
      </c>
      <c r="G130" s="2">
        <v>2.04</v>
      </c>
      <c r="H130" s="2">
        <v>1.02</v>
      </c>
      <c r="I130" s="32">
        <f t="shared" si="64"/>
        <v>4.4451739209600011E-3</v>
      </c>
      <c r="J130" s="31">
        <f t="shared" si="65"/>
        <v>2.5645790699541404</v>
      </c>
      <c r="K130" s="30">
        <f t="shared" si="63"/>
        <v>34.0725174818987</v>
      </c>
      <c r="L130" s="2">
        <v>377.7</v>
      </c>
      <c r="M130" s="38">
        <f t="shared" si="66"/>
        <v>350.40937070063688</v>
      </c>
      <c r="O130">
        <v>5</v>
      </c>
      <c r="P130">
        <v>377.7</v>
      </c>
    </row>
    <row r="131" spans="3:16">
      <c r="E131" s="47">
        <v>6</v>
      </c>
      <c r="F131" s="2">
        <v>1.21E-2</v>
      </c>
      <c r="G131" s="2">
        <v>2.11</v>
      </c>
      <c r="H131" s="2">
        <v>1.06</v>
      </c>
      <c r="I131" s="32">
        <f t="shared" si="64"/>
        <v>4.988911940586668E-3</v>
      </c>
      <c r="J131" s="31">
        <f t="shared" si="65"/>
        <v>2.425378548288649</v>
      </c>
      <c r="K131" s="30">
        <f t="shared" si="63"/>
        <v>37.650937061988465</v>
      </c>
      <c r="L131" s="2">
        <v>300.3</v>
      </c>
      <c r="M131" s="38">
        <f t="shared" si="66"/>
        <v>300.88147261146503</v>
      </c>
      <c r="O131">
        <v>6</v>
      </c>
      <c r="P131">
        <v>300.3</v>
      </c>
    </row>
    <row r="132" spans="3:16">
      <c r="E132" s="47">
        <v>7</v>
      </c>
      <c r="F132" s="2">
        <v>1.06E-2</v>
      </c>
      <c r="G132" s="2">
        <v>2.1</v>
      </c>
      <c r="H132" s="2">
        <v>1.05</v>
      </c>
      <c r="I132" s="32">
        <f t="shared" si="64"/>
        <v>4.849044165E-3</v>
      </c>
      <c r="J132" s="31">
        <f t="shared" si="65"/>
        <v>2.1859978254085464</v>
      </c>
      <c r="K132" s="30">
        <f t="shared" si="63"/>
        <v>43.80468315145125</v>
      </c>
      <c r="L132" s="2">
        <v>286.3</v>
      </c>
      <c r="M132" s="38">
        <f t="shared" si="66"/>
        <v>281.46754777070061</v>
      </c>
      <c r="O132">
        <v>7</v>
      </c>
      <c r="P132">
        <v>286.3</v>
      </c>
    </row>
    <row r="133" spans="3:16">
      <c r="E133" s="47">
        <v>8</v>
      </c>
      <c r="F133" s="2">
        <v>1.06E-2</v>
      </c>
      <c r="G133" s="2">
        <v>2.0499999999999998</v>
      </c>
      <c r="H133" s="2">
        <v>1.02</v>
      </c>
      <c r="I133" s="32">
        <f t="shared" si="64"/>
        <v>4.4451739209600011E-3</v>
      </c>
      <c r="J133" s="31">
        <f t="shared" si="65"/>
        <v>2.3846086089047271</v>
      </c>
      <c r="K133" s="30">
        <f t="shared" si="63"/>
        <v>38.69900748316897</v>
      </c>
      <c r="L133" s="2">
        <v>353.7</v>
      </c>
      <c r="M133" s="38">
        <f t="shared" si="66"/>
        <v>328.14348535031843</v>
      </c>
      <c r="O133">
        <v>8</v>
      </c>
      <c r="P133">
        <v>353.7</v>
      </c>
    </row>
    <row r="134" spans="3:16">
      <c r="E134" s="33" t="s">
        <v>102</v>
      </c>
      <c r="F134" s="80">
        <f>AVERAGE(F126:F133)</f>
        <v>1.0749999999999999E-2</v>
      </c>
      <c r="G134" s="51">
        <f>AVERAGE(G126:G133)</f>
        <v>2.0374999999999996</v>
      </c>
      <c r="H134" s="51">
        <f t="shared" ref="H134:M134" si="67">AVERAGE(H126:H133)</f>
        <v>1.0175000000000001</v>
      </c>
      <c r="I134" s="51">
        <f t="shared" si="67"/>
        <v>4.4211365686733341E-3</v>
      </c>
      <c r="J134" s="51">
        <f t="shared" si="67"/>
        <v>2.4361521598222016</v>
      </c>
      <c r="K134" s="51">
        <f t="shared" si="67"/>
        <v>37.373980467295596</v>
      </c>
      <c r="L134" s="51">
        <f t="shared" si="67"/>
        <v>321.05</v>
      </c>
      <c r="M134" s="51">
        <f t="shared" si="67"/>
        <v>295.96360812101904</v>
      </c>
    </row>
    <row r="135" spans="3:16">
      <c r="E135" s="33" t="s">
        <v>76</v>
      </c>
      <c r="F135" s="80">
        <f>STDEV(F126:F133)</f>
        <v>7.5592894601845444E-4</v>
      </c>
      <c r="G135" s="51">
        <f>STDEV(G126:G133)</f>
        <v>5.2304056111493732E-2</v>
      </c>
      <c r="H135" s="51">
        <f t="shared" ref="H135:M135" si="68">STDEV(H126:H133)</f>
        <v>2.7645717829090921E-2</v>
      </c>
      <c r="I135" s="51">
        <f t="shared" si="68"/>
        <v>3.6205968949179186E-4</v>
      </c>
      <c r="J135" s="51">
        <f t="shared" si="68"/>
        <v>0.12337446869610191</v>
      </c>
      <c r="K135" s="51">
        <f t="shared" si="68"/>
        <v>3.1715801721362973</v>
      </c>
      <c r="L135" s="51">
        <f t="shared" si="68"/>
        <v>50.020738556265393</v>
      </c>
      <c r="M135" s="51">
        <f t="shared" si="68"/>
        <v>43.054378569374954</v>
      </c>
    </row>
    <row r="136" spans="3:16">
      <c r="G136" s="29"/>
      <c r="H136" s="29"/>
      <c r="I136" s="29"/>
      <c r="J136" s="29"/>
      <c r="K136" s="29"/>
      <c r="L136" s="29"/>
      <c r="M136" s="29"/>
    </row>
    <row r="137" spans="3:16">
      <c r="E137" s="29"/>
      <c r="F137" s="29"/>
      <c r="G137" s="29"/>
      <c r="H137" s="29"/>
      <c r="I137" s="29"/>
      <c r="J137" s="29"/>
      <c r="K137" s="29"/>
      <c r="L137" s="29"/>
      <c r="M137" s="29"/>
    </row>
    <row r="138" spans="3:16">
      <c r="C138" s="52" t="s">
        <v>93</v>
      </c>
      <c r="D138" s="53">
        <v>11</v>
      </c>
      <c r="E138" s="33"/>
      <c r="F138" s="47" t="s">
        <v>71</v>
      </c>
      <c r="G138" s="47" t="s">
        <v>72</v>
      </c>
      <c r="H138" s="47" t="s">
        <v>94</v>
      </c>
      <c r="I138" s="47" t="s">
        <v>95</v>
      </c>
      <c r="J138" s="47" t="s">
        <v>73</v>
      </c>
      <c r="K138" s="47" t="s">
        <v>96</v>
      </c>
      <c r="L138" s="47" t="s">
        <v>97</v>
      </c>
      <c r="M138" s="47" t="s">
        <v>98</v>
      </c>
      <c r="P138" t="s">
        <v>99</v>
      </c>
    </row>
    <row r="139" spans="3:16">
      <c r="E139" s="47">
        <v>1</v>
      </c>
      <c r="F139" s="2">
        <v>6.4999999999999997E-3</v>
      </c>
      <c r="G139" s="2">
        <v>1.88</v>
      </c>
      <c r="H139" s="2">
        <v>0.94</v>
      </c>
      <c r="I139" s="32">
        <f>(4/3)*3.14159*((H139/10)^3)</f>
        <v>3.4791391847466663E-3</v>
      </c>
      <c r="J139" s="31">
        <f t="shared" ref="J139:J146" si="69">F139/I139</f>
        <v>1.8682782305742383</v>
      </c>
      <c r="K139" s="30">
        <f t="shared" ref="K139:K146" si="70">(1-(J139/3.89))*100</f>
        <v>51.972281990379486</v>
      </c>
      <c r="L139" s="2">
        <v>319.3</v>
      </c>
      <c r="M139" s="38">
        <f>2.8*(L139)/3.14*(H139^2)</f>
        <v>251.58399490445856</v>
      </c>
      <c r="O139">
        <v>1</v>
      </c>
      <c r="P139">
        <v>319.3</v>
      </c>
    </row>
    <row r="140" spans="3:16">
      <c r="E140" s="47">
        <v>2</v>
      </c>
      <c r="F140" s="2">
        <v>6.4999999999999997E-3</v>
      </c>
      <c r="G140" s="2">
        <v>1.88</v>
      </c>
      <c r="H140" s="2">
        <v>0.94</v>
      </c>
      <c r="I140" s="32">
        <f t="shared" ref="I140:I146" si="71">(4/3)*3.14159*((H140/10)^3)</f>
        <v>3.4791391847466663E-3</v>
      </c>
      <c r="J140" s="31">
        <f t="shared" si="69"/>
        <v>1.8682782305742383</v>
      </c>
      <c r="K140" s="30">
        <f>(1-(J140/3.89))*100</f>
        <v>51.972281990379486</v>
      </c>
      <c r="L140" s="2">
        <v>234.3</v>
      </c>
      <c r="M140" s="38">
        <f t="shared" ref="M140:M146" si="72">2.8*(L140)/3.14*(H140^2)</f>
        <v>184.6104917197452</v>
      </c>
      <c r="O140">
        <v>2</v>
      </c>
      <c r="P140">
        <v>234.3</v>
      </c>
    </row>
    <row r="141" spans="3:16">
      <c r="E141" s="47">
        <v>3</v>
      </c>
      <c r="F141" s="2">
        <v>5.5999999999999999E-3</v>
      </c>
      <c r="G141" s="2">
        <v>1.71</v>
      </c>
      <c r="H141" s="2">
        <v>0.86</v>
      </c>
      <c r="I141" s="32">
        <f t="shared" si="71"/>
        <v>2.6643028920533326E-3</v>
      </c>
      <c r="J141" s="31">
        <f t="shared" si="69"/>
        <v>2.1018631240099643</v>
      </c>
      <c r="K141" s="30">
        <f t="shared" si="70"/>
        <v>45.96752894575927</v>
      </c>
      <c r="L141" s="2">
        <v>235</v>
      </c>
      <c r="M141" s="38">
        <f t="shared" si="72"/>
        <v>154.98624203821655</v>
      </c>
      <c r="O141">
        <v>3</v>
      </c>
      <c r="P141">
        <v>235</v>
      </c>
    </row>
    <row r="142" spans="3:16">
      <c r="E142" s="47">
        <v>4</v>
      </c>
      <c r="F142" s="2">
        <v>5.4000000000000003E-3</v>
      </c>
      <c r="G142" s="2">
        <v>1.81</v>
      </c>
      <c r="H142" s="2">
        <v>0.91</v>
      </c>
      <c r="I142" s="32">
        <f t="shared" si="71"/>
        <v>3.1565481571866664E-3</v>
      </c>
      <c r="J142" s="31">
        <f t="shared" si="69"/>
        <v>1.7107294839476972</v>
      </c>
      <c r="K142" s="30">
        <f t="shared" si="70"/>
        <v>56.022378304686448</v>
      </c>
      <c r="L142" s="2">
        <v>278.7</v>
      </c>
      <c r="M142" s="38">
        <f t="shared" si="72"/>
        <v>205.80131082802546</v>
      </c>
      <c r="O142">
        <v>4</v>
      </c>
      <c r="P142">
        <v>278.7</v>
      </c>
    </row>
    <row r="143" spans="3:16">
      <c r="E143" s="47">
        <v>5</v>
      </c>
      <c r="F143" s="2">
        <v>5.8999999999999999E-3</v>
      </c>
      <c r="G143" s="2">
        <v>1.88</v>
      </c>
      <c r="H143" s="2">
        <v>0.94</v>
      </c>
      <c r="I143" s="32">
        <f t="shared" si="71"/>
        <v>3.4791391847466663E-3</v>
      </c>
      <c r="J143" s="31">
        <f t="shared" si="69"/>
        <v>1.6958217785212317</v>
      </c>
      <c r="K143" s="30">
        <f t="shared" si="70"/>
        <v>56.405609806652144</v>
      </c>
      <c r="L143" s="2">
        <v>334.7</v>
      </c>
      <c r="M143" s="38">
        <f t="shared" si="72"/>
        <v>263.71801783439486</v>
      </c>
      <c r="O143">
        <v>5</v>
      </c>
      <c r="P143">
        <v>334.7</v>
      </c>
    </row>
    <row r="144" spans="3:16">
      <c r="E144" s="47">
        <v>6</v>
      </c>
      <c r="F144" s="2">
        <v>5.8999999999999999E-3</v>
      </c>
      <c r="G144" s="2">
        <v>1.89</v>
      </c>
      <c r="H144" s="2">
        <v>0.95</v>
      </c>
      <c r="I144" s="32">
        <f t="shared" si="71"/>
        <v>3.5913609683333333E-3</v>
      </c>
      <c r="J144" s="31">
        <f t="shared" si="69"/>
        <v>1.6428312419784559</v>
      </c>
      <c r="K144" s="30">
        <f t="shared" si="70"/>
        <v>57.767834396440733</v>
      </c>
      <c r="L144" s="2">
        <v>295</v>
      </c>
      <c r="M144" s="38">
        <f t="shared" si="72"/>
        <v>237.40923566878976</v>
      </c>
      <c r="O144">
        <v>6</v>
      </c>
      <c r="P144">
        <v>295</v>
      </c>
    </row>
    <row r="145" spans="3:16">
      <c r="E145" s="47">
        <v>7</v>
      </c>
      <c r="F145" s="2">
        <v>6.1999999999999998E-3</v>
      </c>
      <c r="G145" s="2">
        <v>1.86</v>
      </c>
      <c r="H145" s="2">
        <v>0.93</v>
      </c>
      <c r="I145" s="32">
        <f t="shared" si="71"/>
        <v>3.3692798768399997E-3</v>
      </c>
      <c r="J145" s="31">
        <f t="shared" si="69"/>
        <v>1.8401558275458234</v>
      </c>
      <c r="K145" s="30">
        <f t="shared" si="70"/>
        <v>52.695222942266753</v>
      </c>
      <c r="L145" s="2">
        <v>427.7</v>
      </c>
      <c r="M145" s="38">
        <f t="shared" si="72"/>
        <v>329.86294394904456</v>
      </c>
      <c r="O145">
        <v>7</v>
      </c>
      <c r="P145">
        <v>427.7</v>
      </c>
    </row>
    <row r="146" spans="3:16">
      <c r="E146" s="47">
        <v>8</v>
      </c>
      <c r="F146" s="2">
        <v>6.4999999999999997E-3</v>
      </c>
      <c r="G146" s="2">
        <v>1.97</v>
      </c>
      <c r="H146" s="2">
        <v>0.99</v>
      </c>
      <c r="I146" s="32">
        <f t="shared" si="71"/>
        <v>4.0643755138799996E-3</v>
      </c>
      <c r="J146" s="31">
        <f t="shared" si="69"/>
        <v>1.5992616769297641</v>
      </c>
      <c r="K146" s="30">
        <f t="shared" si="70"/>
        <v>58.887874629054913</v>
      </c>
      <c r="L146" s="2">
        <v>291</v>
      </c>
      <c r="M146" s="38">
        <f t="shared" si="72"/>
        <v>254.3265859872611</v>
      </c>
      <c r="O146">
        <v>8</v>
      </c>
      <c r="P146">
        <v>291</v>
      </c>
    </row>
    <row r="147" spans="3:16">
      <c r="E147" s="33" t="s">
        <v>102</v>
      </c>
      <c r="F147" s="80">
        <f>AVERAGE(F139:F146)</f>
        <v>6.0624999999999993E-3</v>
      </c>
      <c r="G147" s="51">
        <f>AVERAGE(G139:G146)</f>
        <v>1.86</v>
      </c>
      <c r="H147" s="51">
        <f t="shared" ref="H147:M147" si="73">AVERAGE(H139:H146)</f>
        <v>0.9325</v>
      </c>
      <c r="I147" s="51">
        <f t="shared" si="73"/>
        <v>3.4104106203166661E-3</v>
      </c>
      <c r="J147" s="51">
        <f t="shared" si="73"/>
        <v>1.7909024492601766</v>
      </c>
      <c r="K147" s="51">
        <f t="shared" si="73"/>
        <v>53.961376625702407</v>
      </c>
      <c r="L147" s="51">
        <f t="shared" si="73"/>
        <v>301.96249999999998</v>
      </c>
      <c r="M147" s="51">
        <f t="shared" si="73"/>
        <v>235.287352866242</v>
      </c>
    </row>
    <row r="148" spans="3:16">
      <c r="E148" s="33" t="s">
        <v>76</v>
      </c>
      <c r="F148" s="80">
        <f>STDEV(F139:F146)</f>
        <v>4.3073856837496472E-4</v>
      </c>
      <c r="G148" s="51">
        <f>STDEV(G139:G146)</f>
        <v>7.4833147735478819E-2</v>
      </c>
      <c r="H148" s="51">
        <f t="shared" ref="H148:M148" si="74">STDEV(H139:H146)</f>
        <v>3.6936238496708261E-2</v>
      </c>
      <c r="I148" s="51">
        <f t="shared" si="74"/>
        <v>3.9594346414357969E-4</v>
      </c>
      <c r="J148" s="51">
        <f t="shared" si="74"/>
        <v>0.16266344129685259</v>
      </c>
      <c r="K148" s="51">
        <f t="shared" si="74"/>
        <v>4.1815794677854159</v>
      </c>
      <c r="L148" s="51">
        <f t="shared" si="74"/>
        <v>62.053247583944426</v>
      </c>
      <c r="M148" s="51">
        <f t="shared" si="74"/>
        <v>53.81351369887691</v>
      </c>
    </row>
    <row r="149" spans="3:16">
      <c r="G149" s="29"/>
      <c r="H149" s="29"/>
      <c r="I149" s="29"/>
      <c r="J149" s="29"/>
      <c r="K149" s="29"/>
      <c r="L149" s="29"/>
      <c r="M149" s="29"/>
    </row>
    <row r="150" spans="3:16">
      <c r="E150" s="29"/>
      <c r="F150" s="29"/>
      <c r="G150" s="29"/>
      <c r="H150" s="29"/>
      <c r="I150" s="29"/>
      <c r="J150" s="29"/>
      <c r="K150" s="29"/>
      <c r="L150" s="29"/>
      <c r="M150" s="29"/>
    </row>
    <row r="151" spans="3:16">
      <c r="C151" s="52" t="s">
        <v>93</v>
      </c>
      <c r="D151" s="53">
        <v>12</v>
      </c>
      <c r="E151" s="33"/>
      <c r="F151" s="47" t="s">
        <v>71</v>
      </c>
      <c r="G151" s="47" t="s">
        <v>72</v>
      </c>
      <c r="H151" s="47" t="s">
        <v>94</v>
      </c>
      <c r="I151" s="47" t="s">
        <v>95</v>
      </c>
      <c r="J151" s="47" t="s">
        <v>73</v>
      </c>
      <c r="K151" s="47" t="s">
        <v>96</v>
      </c>
      <c r="L151" s="47" t="s">
        <v>97</v>
      </c>
      <c r="M151" s="47" t="s">
        <v>98</v>
      </c>
      <c r="P151" t="s">
        <v>99</v>
      </c>
    </row>
    <row r="152" spans="3:16">
      <c r="E152" s="47">
        <v>1</v>
      </c>
      <c r="F152" s="2">
        <v>1.1900000000000001E-2</v>
      </c>
      <c r="G152" s="2">
        <v>2.1</v>
      </c>
      <c r="H152" s="2">
        <v>1.05</v>
      </c>
      <c r="I152" s="32">
        <f>(4/3)*3.14159*((H152/10)^3)</f>
        <v>4.849044165E-3</v>
      </c>
      <c r="J152" s="31">
        <f t="shared" ref="J152:J159" si="75">F152/I152</f>
        <v>2.4540918983360096</v>
      </c>
      <c r="K152" s="30"/>
      <c r="L152" s="2">
        <v>470.3</v>
      </c>
      <c r="M152" s="38">
        <f t="shared" ref="M152:M159" si="76">2.8*(L152)/3.14*(H152^2)</f>
        <v>462.36181528662422</v>
      </c>
      <c r="O152">
        <v>1</v>
      </c>
      <c r="P152">
        <v>470.3</v>
      </c>
    </row>
    <row r="153" spans="3:16">
      <c r="E153" s="47">
        <v>2</v>
      </c>
      <c r="F153" s="2">
        <v>1.35E-2</v>
      </c>
      <c r="G153" s="2">
        <v>2.27</v>
      </c>
      <c r="H153" s="2">
        <v>1.1299999999999999</v>
      </c>
      <c r="I153" s="32">
        <f t="shared" ref="I153:I159" si="77">(4/3)*3.14159*((H153/10)^3)</f>
        <v>6.0439877149733312E-3</v>
      </c>
      <c r="J153" s="31">
        <f t="shared" si="75"/>
        <v>2.2336246591890316</v>
      </c>
      <c r="K153" s="30">
        <f t="shared" ref="K153:K159" si="78">(1-(J153/3.89))*100</f>
        <v>42.58034295143878</v>
      </c>
      <c r="L153" s="2">
        <v>559</v>
      </c>
      <c r="M153" s="38">
        <f t="shared" si="76"/>
        <v>636.49805095541376</v>
      </c>
      <c r="O153">
        <v>2</v>
      </c>
      <c r="P153">
        <v>559</v>
      </c>
    </row>
    <row r="154" spans="3:16">
      <c r="E154" s="47">
        <v>3</v>
      </c>
      <c r="F154" s="2">
        <v>1.11E-2</v>
      </c>
      <c r="G154" s="2">
        <v>2.14</v>
      </c>
      <c r="H154" s="2">
        <v>1.07</v>
      </c>
      <c r="I154" s="32">
        <f t="shared" si="77"/>
        <v>5.1314437844933343E-3</v>
      </c>
      <c r="J154" s="31">
        <f t="shared" si="75"/>
        <v>2.163133898795305</v>
      </c>
      <c r="K154" s="30">
        <f t="shared" si="78"/>
        <v>44.392444761046143</v>
      </c>
      <c r="L154" s="2">
        <v>378.7</v>
      </c>
      <c r="M154" s="38">
        <f t="shared" si="76"/>
        <v>386.62616687898083</v>
      </c>
      <c r="O154">
        <v>3</v>
      </c>
      <c r="P154">
        <v>378.7</v>
      </c>
    </row>
    <row r="155" spans="3:16">
      <c r="E155" s="47">
        <v>4</v>
      </c>
      <c r="F155" s="2">
        <v>1.14E-2</v>
      </c>
      <c r="G155" s="2">
        <v>2.0699999999999998</v>
      </c>
      <c r="H155" s="2">
        <v>1.03</v>
      </c>
      <c r="I155" s="32">
        <f t="shared" si="77"/>
        <v>4.5772002879066681E-3</v>
      </c>
      <c r="J155" s="31">
        <f t="shared" si="75"/>
        <v>2.490605453757337</v>
      </c>
      <c r="K155" s="30"/>
      <c r="L155" s="2">
        <v>293.3</v>
      </c>
      <c r="M155" s="38">
        <f t="shared" si="76"/>
        <v>277.46927261146499</v>
      </c>
      <c r="O155">
        <v>4</v>
      </c>
      <c r="P155">
        <v>293.3</v>
      </c>
    </row>
    <row r="156" spans="3:16">
      <c r="E156" s="47">
        <v>5</v>
      </c>
      <c r="F156" s="2">
        <v>1.21E-2</v>
      </c>
      <c r="G156" s="2">
        <v>2.21</v>
      </c>
      <c r="H156" s="2">
        <v>1.1100000000000001</v>
      </c>
      <c r="I156" s="32">
        <f t="shared" si="77"/>
        <v>5.7287144977200026E-3</v>
      </c>
      <c r="J156" s="31">
        <f t="shared" si="75"/>
        <v>2.1121667007171911</v>
      </c>
      <c r="K156" s="30">
        <f t="shared" si="78"/>
        <v>45.702655508555502</v>
      </c>
      <c r="L156" s="2">
        <v>317</v>
      </c>
      <c r="M156" s="38">
        <f t="shared" si="76"/>
        <v>348.2840636942675</v>
      </c>
      <c r="O156">
        <v>5</v>
      </c>
      <c r="P156">
        <v>317</v>
      </c>
    </row>
    <row r="157" spans="3:16">
      <c r="E157" s="47">
        <v>6</v>
      </c>
      <c r="F157" s="2">
        <v>1.06E-2</v>
      </c>
      <c r="G157" s="2">
        <v>2.1800000000000002</v>
      </c>
      <c r="H157" s="2">
        <v>1.0900000000000001</v>
      </c>
      <c r="I157" s="32">
        <f t="shared" si="77"/>
        <v>5.4246002081466682E-3</v>
      </c>
      <c r="J157" s="31">
        <f t="shared" si="75"/>
        <v>1.9540610539521259</v>
      </c>
      <c r="K157" s="30">
        <f t="shared" si="78"/>
        <v>49.767068021796248</v>
      </c>
      <c r="L157" s="2">
        <v>317.7</v>
      </c>
      <c r="M157" s="38">
        <f t="shared" si="76"/>
        <v>336.58797324840765</v>
      </c>
      <c r="O157">
        <v>6</v>
      </c>
      <c r="P157">
        <v>317.7</v>
      </c>
    </row>
    <row r="158" spans="3:16">
      <c r="E158" s="47">
        <v>7</v>
      </c>
      <c r="F158" s="2">
        <v>1.06E-2</v>
      </c>
      <c r="G158" s="2">
        <v>2.12</v>
      </c>
      <c r="H158" s="2">
        <v>1.06</v>
      </c>
      <c r="I158" s="32">
        <f t="shared" si="77"/>
        <v>4.988911940586668E-3</v>
      </c>
      <c r="J158" s="31">
        <f t="shared" si="75"/>
        <v>2.1247117861041058</v>
      </c>
      <c r="K158" s="30">
        <f t="shared" si="78"/>
        <v>45.380159740254356</v>
      </c>
      <c r="L158" s="2">
        <v>324.3</v>
      </c>
      <c r="M158" s="38">
        <f t="shared" si="76"/>
        <v>324.92794394904462</v>
      </c>
      <c r="O158">
        <v>7</v>
      </c>
      <c r="P158">
        <v>324.3</v>
      </c>
    </row>
    <row r="159" spans="3:16">
      <c r="E159" s="47">
        <v>8</v>
      </c>
      <c r="F159" s="2">
        <v>1.0800000000000001E-2</v>
      </c>
      <c r="G159" s="2">
        <v>2.25</v>
      </c>
      <c r="H159" s="2">
        <v>1.1299999999999999</v>
      </c>
      <c r="I159" s="32">
        <f t="shared" si="77"/>
        <v>6.0439877149733312E-3</v>
      </c>
      <c r="J159" s="31">
        <f t="shared" si="75"/>
        <v>1.7868997273512253</v>
      </c>
      <c r="K159" s="30">
        <f t="shared" si="78"/>
        <v>54.064274361151021</v>
      </c>
      <c r="L159" s="2">
        <v>351.3</v>
      </c>
      <c r="M159" s="38">
        <f t="shared" si="76"/>
        <v>400.00315796178336</v>
      </c>
      <c r="O159">
        <v>8</v>
      </c>
      <c r="P159">
        <v>351.3</v>
      </c>
    </row>
    <row r="160" spans="3:16">
      <c r="E160" s="33" t="s">
        <v>102</v>
      </c>
      <c r="F160" s="80">
        <f>AVERAGE(F152:F159)</f>
        <v>1.15E-2</v>
      </c>
      <c r="G160" s="51">
        <f>AVERAGE(G152:G159)</f>
        <v>2.1675</v>
      </c>
      <c r="H160" s="51">
        <f t="shared" ref="H160:M160" si="79">AVERAGE(H152:H159)</f>
        <v>1.0837500000000002</v>
      </c>
      <c r="I160" s="51">
        <f t="shared" si="79"/>
        <v>5.3484862892250002E-3</v>
      </c>
      <c r="J160" s="79">
        <f t="shared" si="79"/>
        <v>2.1649118972752914</v>
      </c>
      <c r="K160" s="51">
        <f t="shared" si="79"/>
        <v>46.98115755737367</v>
      </c>
      <c r="L160" s="51">
        <f t="shared" si="79"/>
        <v>376.45000000000005</v>
      </c>
      <c r="M160" s="51">
        <f t="shared" si="79"/>
        <v>396.59480557324838</v>
      </c>
    </row>
    <row r="161" spans="3:16">
      <c r="E161" s="33" t="s">
        <v>76</v>
      </c>
      <c r="F161" s="80">
        <f>STDEV(F152:F159)</f>
        <v>9.8561076060916229E-4</v>
      </c>
      <c r="G161" s="51">
        <f>STDEV(G152:G159)</f>
        <v>7.2061481686523376E-2</v>
      </c>
      <c r="H161" s="51">
        <f t="shared" ref="H161:M161" si="80">STDEV(H152:H159)</f>
        <v>3.7392703642746696E-2</v>
      </c>
      <c r="I161" s="51">
        <f t="shared" si="80"/>
        <v>5.5272532289216472E-4</v>
      </c>
      <c r="J161" s="79">
        <f t="shared" si="80"/>
        <v>0.23487849567526445</v>
      </c>
      <c r="K161" s="51">
        <f t="shared" si="80"/>
        <v>4.1999572714175342</v>
      </c>
      <c r="L161" s="51">
        <f t="shared" si="80"/>
        <v>92.109655147701787</v>
      </c>
      <c r="M161" s="51">
        <f t="shared" si="80"/>
        <v>111.64461262672917</v>
      </c>
    </row>
    <row r="162" spans="3:16">
      <c r="G162" s="29"/>
      <c r="H162" s="29"/>
      <c r="I162" s="29"/>
      <c r="J162" s="29"/>
      <c r="K162" s="29"/>
      <c r="L162" s="29"/>
      <c r="M162" s="29"/>
    </row>
    <row r="163" spans="3:16">
      <c r="E163" s="29"/>
      <c r="F163" s="29"/>
      <c r="G163" s="29"/>
      <c r="H163" s="29"/>
      <c r="I163" s="29"/>
      <c r="J163" s="29"/>
      <c r="K163" s="29"/>
      <c r="L163" s="29"/>
      <c r="M163" s="29"/>
    </row>
    <row r="164" spans="3:16">
      <c r="C164" s="52" t="s">
        <v>93</v>
      </c>
      <c r="D164" s="53">
        <v>13</v>
      </c>
      <c r="E164" s="33"/>
      <c r="F164" s="47" t="s">
        <v>71</v>
      </c>
      <c r="G164" s="47" t="s">
        <v>72</v>
      </c>
      <c r="H164" s="47" t="s">
        <v>94</v>
      </c>
      <c r="I164" s="47" t="s">
        <v>95</v>
      </c>
      <c r="J164" s="47" t="s">
        <v>73</v>
      </c>
      <c r="K164" s="47" t="s">
        <v>96</v>
      </c>
      <c r="L164" s="47" t="s">
        <v>97</v>
      </c>
      <c r="M164" s="47" t="s">
        <v>98</v>
      </c>
      <c r="P164" t="s">
        <v>99</v>
      </c>
    </row>
    <row r="165" spans="3:16">
      <c r="E165" s="47">
        <v>1</v>
      </c>
      <c r="F165" s="2">
        <v>7.1999999999999998E-3</v>
      </c>
      <c r="G165" s="2">
        <v>1.97</v>
      </c>
      <c r="H165" s="2">
        <v>0.98</v>
      </c>
      <c r="I165" s="32">
        <f>(4/3)*3.14159*((H165/10)^3)</f>
        <v>3.9424525003733338E-3</v>
      </c>
      <c r="J165" s="31">
        <f t="shared" ref="J165:J172" si="81">F165/I165</f>
        <v>1.8262743810656412</v>
      </c>
      <c r="K165" s="30">
        <f t="shared" ref="K165:K172" si="82">(1-(J165/3.89))*100</f>
        <v>53.052072466178892</v>
      </c>
      <c r="L165" s="2">
        <v>420.3</v>
      </c>
      <c r="M165" s="38">
        <f t="shared" ref="M165:M172" si="83">2.8*(L165)/3.14*(H165^2)</f>
        <v>359.94813248407638</v>
      </c>
      <c r="O165">
        <v>1</v>
      </c>
      <c r="P165">
        <v>420.3</v>
      </c>
    </row>
    <row r="166" spans="3:16">
      <c r="E166" s="47">
        <v>2</v>
      </c>
      <c r="F166" s="2">
        <v>7.3000000000000001E-3</v>
      </c>
      <c r="G166" s="2">
        <v>1.93</v>
      </c>
      <c r="H166" s="2">
        <v>0.96</v>
      </c>
      <c r="I166" s="32">
        <f t="shared" ref="I166:I172" si="84">(4/3)*3.14159*((H166/10)^3)</f>
        <v>3.7059703603199998E-3</v>
      </c>
      <c r="J166" s="31">
        <f t="shared" si="81"/>
        <v>1.9697944911166712</v>
      </c>
      <c r="K166" s="30">
        <f t="shared" si="82"/>
        <v>49.362609482861927</v>
      </c>
      <c r="L166" s="2">
        <v>284.3</v>
      </c>
      <c r="M166" s="38">
        <f t="shared" si="83"/>
        <v>233.64027515923564</v>
      </c>
      <c r="O166">
        <v>2</v>
      </c>
      <c r="P166">
        <v>284.3</v>
      </c>
    </row>
    <row r="167" spans="3:16">
      <c r="E167" s="47">
        <v>3</v>
      </c>
      <c r="F167" s="2">
        <v>8.6999999999999994E-3</v>
      </c>
      <c r="G167" s="2">
        <v>2.12</v>
      </c>
      <c r="H167" s="2">
        <v>1.06</v>
      </c>
      <c r="I167" s="32">
        <f t="shared" si="84"/>
        <v>4.988911940586668E-3</v>
      </c>
      <c r="J167" s="31">
        <f t="shared" si="81"/>
        <v>1.7438672206703509</v>
      </c>
      <c r="K167" s="30">
        <f t="shared" si="82"/>
        <v>55.170508466057825</v>
      </c>
      <c r="L167" s="2">
        <v>356.7</v>
      </c>
      <c r="M167" s="38">
        <f t="shared" si="83"/>
        <v>357.39068025477707</v>
      </c>
      <c r="O167">
        <v>3</v>
      </c>
      <c r="P167">
        <v>356.7</v>
      </c>
    </row>
    <row r="168" spans="3:16">
      <c r="E168" s="47">
        <v>4</v>
      </c>
      <c r="F168" s="2">
        <v>8.0999999999999996E-3</v>
      </c>
      <c r="G168" s="2">
        <v>2.3199999999999998</v>
      </c>
      <c r="H168" s="2">
        <v>1.1599999999999999</v>
      </c>
      <c r="I168" s="32">
        <f t="shared" si="84"/>
        <v>6.5382603528533305E-3</v>
      </c>
      <c r="J168" s="31"/>
      <c r="K168" s="30">
        <f t="shared" si="82"/>
        <v>100</v>
      </c>
      <c r="L168" s="2">
        <v>272.7</v>
      </c>
      <c r="M168" s="38">
        <f t="shared" si="83"/>
        <v>327.21220891719742</v>
      </c>
      <c r="O168">
        <v>4</v>
      </c>
      <c r="P168">
        <v>272.7</v>
      </c>
    </row>
    <row r="169" spans="3:16">
      <c r="E169" s="47">
        <v>5</v>
      </c>
      <c r="F169" s="2">
        <v>7.7999999999999996E-3</v>
      </c>
      <c r="G169" s="2">
        <v>2.21</v>
      </c>
      <c r="H169" s="2">
        <v>1.1000000000000001</v>
      </c>
      <c r="I169" s="32">
        <f t="shared" si="84"/>
        <v>5.5752750533333353E-3</v>
      </c>
      <c r="J169" s="31">
        <f t="shared" si="81"/>
        <v>1.3990341149781569</v>
      </c>
      <c r="K169" s="30">
        <f t="shared" si="82"/>
        <v>64.035112725497243</v>
      </c>
      <c r="L169" s="2">
        <v>296.7</v>
      </c>
      <c r="M169" s="38">
        <f t="shared" si="83"/>
        <v>320.13363057324835</v>
      </c>
      <c r="O169">
        <v>5</v>
      </c>
      <c r="P169">
        <v>296.7</v>
      </c>
    </row>
    <row r="170" spans="3:16">
      <c r="E170" s="47">
        <v>6</v>
      </c>
      <c r="F170" s="2">
        <v>7.1999999999999998E-3</v>
      </c>
      <c r="G170" s="2">
        <v>1.8</v>
      </c>
      <c r="H170" s="2">
        <v>0.9</v>
      </c>
      <c r="I170" s="32">
        <f t="shared" si="84"/>
        <v>3.0536254799999993E-3</v>
      </c>
      <c r="J170" s="31"/>
      <c r="K170" s="30"/>
      <c r="L170" s="2">
        <v>337.3</v>
      </c>
      <c r="M170" s="38">
        <f t="shared" si="83"/>
        <v>243.62942675159235</v>
      </c>
      <c r="O170">
        <v>6</v>
      </c>
      <c r="P170">
        <v>337.3</v>
      </c>
    </row>
    <row r="171" spans="3:16">
      <c r="E171" s="47">
        <v>7</v>
      </c>
      <c r="F171" s="2">
        <v>7.1000000000000004E-3</v>
      </c>
      <c r="G171" s="2">
        <v>1.87</v>
      </c>
      <c r="H171" s="2">
        <v>0.94</v>
      </c>
      <c r="I171" s="32">
        <f t="shared" si="84"/>
        <v>3.4791391847466663E-3</v>
      </c>
      <c r="J171" s="31">
        <f t="shared" si="81"/>
        <v>2.040734682627245</v>
      </c>
      <c r="K171" s="30"/>
      <c r="L171" s="2">
        <v>292.7</v>
      </c>
      <c r="M171" s="38">
        <f t="shared" si="83"/>
        <v>230.62522802547767</v>
      </c>
      <c r="O171">
        <v>7</v>
      </c>
      <c r="P171">
        <v>292.7</v>
      </c>
    </row>
    <row r="172" spans="3:16">
      <c r="E172" s="47">
        <v>8</v>
      </c>
      <c r="F172" s="2">
        <v>7.6E-3</v>
      </c>
      <c r="G172" s="2">
        <v>2.12</v>
      </c>
      <c r="H172" s="2">
        <v>1.06</v>
      </c>
      <c r="I172" s="32">
        <f t="shared" si="84"/>
        <v>4.988911940586668E-3</v>
      </c>
      <c r="J172" s="31">
        <f t="shared" si="81"/>
        <v>1.5233782617350193</v>
      </c>
      <c r="K172" s="30">
        <f t="shared" si="82"/>
        <v>60.838605096786139</v>
      </c>
      <c r="L172" s="2">
        <v>290.3</v>
      </c>
      <c r="M172" s="38">
        <f t="shared" si="83"/>
        <v>290.8621095541402</v>
      </c>
      <c r="O172">
        <v>8</v>
      </c>
      <c r="P172">
        <v>290.3</v>
      </c>
    </row>
    <row r="173" spans="3:16">
      <c r="E173" s="33" t="s">
        <v>102</v>
      </c>
      <c r="F173" s="80">
        <f>AVERAGE(F165:F172)</f>
        <v>7.6249999999999998E-3</v>
      </c>
      <c r="G173" s="51">
        <f>AVERAGE(G165:G172)</f>
        <v>2.0425000000000004</v>
      </c>
      <c r="H173" s="51">
        <f t="shared" ref="H173:M173" si="85">AVERAGE(H165:H172)</f>
        <v>1.02</v>
      </c>
      <c r="I173" s="76">
        <f t="shared" si="85"/>
        <v>4.5340683516000005E-3</v>
      </c>
      <c r="J173" s="76">
        <f t="shared" si="85"/>
        <v>1.7505138586988476</v>
      </c>
      <c r="K173" s="51">
        <f t="shared" si="85"/>
        <v>63.743151372896996</v>
      </c>
      <c r="L173" s="51">
        <f t="shared" si="85"/>
        <v>318.875</v>
      </c>
      <c r="M173" s="51">
        <f t="shared" si="85"/>
        <v>295.43021146496812</v>
      </c>
    </row>
    <row r="174" spans="3:16">
      <c r="E174" s="33" t="s">
        <v>76</v>
      </c>
      <c r="F174" s="80">
        <f>STDEV(F165:F172)</f>
        <v>5.5484875674109843E-4</v>
      </c>
      <c r="G174" s="51">
        <f>STDEV(G165:G172)</f>
        <v>0.17870566383221956</v>
      </c>
      <c r="H174" s="51">
        <f t="shared" ref="H174:M174" si="86">STDEV(H165:H172)</f>
        <v>8.8801544388114592E-2</v>
      </c>
      <c r="I174" s="76">
        <f t="shared" si="86"/>
        <v>1.1865318366832531E-3</v>
      </c>
      <c r="J174" s="76">
        <f t="shared" si="86"/>
        <v>0.25028965084305194</v>
      </c>
      <c r="K174" s="51">
        <f t="shared" si="86"/>
        <v>18.534670552880367</v>
      </c>
      <c r="L174" s="51">
        <f t="shared" si="86"/>
        <v>49.825689013944185</v>
      </c>
      <c r="M174" s="51">
        <f t="shared" si="86"/>
        <v>53.909828234909341</v>
      </c>
    </row>
    <row r="175" spans="3:16">
      <c r="G175" s="29"/>
      <c r="H175" s="29"/>
      <c r="I175" s="29"/>
      <c r="J175" s="29"/>
      <c r="K175" s="29"/>
      <c r="L175" s="29"/>
      <c r="M175" s="29"/>
    </row>
    <row r="176" spans="3:16">
      <c r="E176" s="29"/>
      <c r="F176" s="29"/>
      <c r="G176" s="29"/>
      <c r="H176" s="29"/>
      <c r="I176" s="29"/>
      <c r="J176" s="29"/>
      <c r="K176" s="29"/>
      <c r="L176" s="29"/>
      <c r="M176" s="29"/>
    </row>
    <row r="177" spans="3:16">
      <c r="C177" s="52" t="s">
        <v>93</v>
      </c>
      <c r="D177" s="53">
        <v>14</v>
      </c>
      <c r="E177" s="33"/>
      <c r="F177" s="47" t="s">
        <v>71</v>
      </c>
      <c r="G177" s="47" t="s">
        <v>72</v>
      </c>
      <c r="H177" s="47" t="s">
        <v>94</v>
      </c>
      <c r="I177" s="47" t="s">
        <v>95</v>
      </c>
      <c r="J177" s="47" t="s">
        <v>73</v>
      </c>
      <c r="K177" s="47" t="s">
        <v>96</v>
      </c>
      <c r="L177" s="47" t="s">
        <v>97</v>
      </c>
      <c r="M177" s="47" t="s">
        <v>98</v>
      </c>
      <c r="P177" t="s">
        <v>99</v>
      </c>
    </row>
    <row r="178" spans="3:16">
      <c r="E178" s="47">
        <v>1</v>
      </c>
      <c r="F178" s="2">
        <v>1.09E-2</v>
      </c>
      <c r="G178" s="33">
        <v>2.16</v>
      </c>
      <c r="H178">
        <v>1.08</v>
      </c>
      <c r="I178" s="32">
        <f>(4/3)*3.14159*((H178/10)^3)</f>
        <v>5.2766648294400014E-3</v>
      </c>
      <c r="J178" s="77">
        <f t="shared" ref="J178:J185" si="87">F178/I178</f>
        <v>2.0656987609267552</v>
      </c>
      <c r="K178" s="30">
        <f>(1-(J178/3.89))*100</f>
        <v>46.897204089286504</v>
      </c>
      <c r="L178" s="2">
        <v>381</v>
      </c>
      <c r="M178" s="38">
        <f t="shared" ref="M178:M185" si="88">2.8*(L178)/3.14*(H178^2)</f>
        <v>396.27882802547771</v>
      </c>
      <c r="O178">
        <v>1</v>
      </c>
      <c r="P178">
        <v>381</v>
      </c>
    </row>
    <row r="179" spans="3:16">
      <c r="E179" s="47">
        <v>2</v>
      </c>
      <c r="F179" s="2">
        <v>1.11E-2</v>
      </c>
      <c r="G179" s="33">
        <v>2.09</v>
      </c>
      <c r="H179">
        <v>1.05</v>
      </c>
      <c r="I179" s="32">
        <f t="shared" ref="I179:I185" si="89">(4/3)*3.14159*((H179/10)^3)</f>
        <v>4.849044165E-3</v>
      </c>
      <c r="J179" s="77">
        <f t="shared" si="87"/>
        <v>2.2891109303806476</v>
      </c>
      <c r="K179" s="30">
        <f t="shared" ref="K179:K183" si="90">(1-(J179/3.89))*100</f>
        <v>41.153960658595182</v>
      </c>
      <c r="L179" s="2">
        <v>546</v>
      </c>
      <c r="M179" s="38">
        <f t="shared" si="88"/>
        <v>536.78407643312096</v>
      </c>
      <c r="O179">
        <v>2</v>
      </c>
      <c r="P179">
        <v>546</v>
      </c>
    </row>
    <row r="180" spans="3:16">
      <c r="E180" s="47">
        <v>3</v>
      </c>
      <c r="F180" s="2">
        <v>1.14E-2</v>
      </c>
      <c r="G180" s="33">
        <v>2.1</v>
      </c>
      <c r="H180">
        <v>1.05</v>
      </c>
      <c r="I180" s="32">
        <f t="shared" si="89"/>
        <v>4.849044165E-3</v>
      </c>
      <c r="J180" s="77">
        <f t="shared" si="87"/>
        <v>2.3509787933639084</v>
      </c>
      <c r="K180" s="30">
        <f t="shared" si="90"/>
        <v>39.563527162881542</v>
      </c>
      <c r="L180" s="2">
        <v>383.3</v>
      </c>
      <c r="M180" s="38">
        <f t="shared" si="88"/>
        <v>376.83028662420378</v>
      </c>
      <c r="O180">
        <v>3</v>
      </c>
      <c r="P180">
        <v>383.3</v>
      </c>
    </row>
    <row r="181" spans="3:16">
      <c r="E181" s="47">
        <v>4</v>
      </c>
      <c r="F181" s="2">
        <v>1.06E-2</v>
      </c>
      <c r="G181" s="33">
        <v>2.19</v>
      </c>
      <c r="H181">
        <v>1.0900000000000001</v>
      </c>
      <c r="I181" s="32">
        <f t="shared" si="89"/>
        <v>5.4246002081466682E-3</v>
      </c>
      <c r="J181" s="77">
        <f t="shared" si="87"/>
        <v>1.9540610539521259</v>
      </c>
      <c r="K181" s="30">
        <f t="shared" si="90"/>
        <v>49.767068021796248</v>
      </c>
      <c r="L181" s="2">
        <v>435.7</v>
      </c>
      <c r="M181" s="38">
        <f t="shared" si="88"/>
        <v>461.60333630573246</v>
      </c>
      <c r="O181">
        <v>4</v>
      </c>
      <c r="P181">
        <v>435.7</v>
      </c>
    </row>
    <row r="182" spans="3:16">
      <c r="E182" s="47">
        <v>5</v>
      </c>
      <c r="F182" s="2">
        <v>1.11E-2</v>
      </c>
      <c r="G182" s="33">
        <v>2.08</v>
      </c>
      <c r="H182">
        <v>1.04</v>
      </c>
      <c r="I182" s="32">
        <f t="shared" si="89"/>
        <v>4.7118153250133342E-3</v>
      </c>
      <c r="J182" s="77">
        <f t="shared" si="87"/>
        <v>2.3557799349804927</v>
      </c>
      <c r="K182" s="30">
        <f t="shared" si="90"/>
        <v>39.440104499216133</v>
      </c>
      <c r="L182" s="2">
        <v>456.7</v>
      </c>
      <c r="M182" s="38">
        <f t="shared" si="88"/>
        <v>440.47987770700638</v>
      </c>
      <c r="O182">
        <v>5</v>
      </c>
      <c r="P182">
        <v>456.7</v>
      </c>
    </row>
    <row r="183" spans="3:16">
      <c r="E183" s="47">
        <v>6</v>
      </c>
      <c r="F183" s="2">
        <v>1.12E-2</v>
      </c>
      <c r="G183" s="33">
        <v>2.16</v>
      </c>
      <c r="H183">
        <v>1.08</v>
      </c>
      <c r="I183" s="32">
        <f t="shared" si="89"/>
        <v>5.2766648294400014E-3</v>
      </c>
      <c r="J183" s="77">
        <f t="shared" si="87"/>
        <v>2.122552855264189</v>
      </c>
      <c r="K183" s="30">
        <f t="shared" si="90"/>
        <v>45.435659247707228</v>
      </c>
      <c r="L183" s="2">
        <v>314.3</v>
      </c>
      <c r="M183" s="38">
        <f t="shared" si="88"/>
        <v>326.90403057324841</v>
      </c>
      <c r="O183">
        <v>6</v>
      </c>
      <c r="P183">
        <v>314.3</v>
      </c>
    </row>
    <row r="184" spans="3:16">
      <c r="E184" s="47">
        <v>7</v>
      </c>
      <c r="F184" s="2">
        <v>1.15E-2</v>
      </c>
      <c r="G184" s="33">
        <v>2.02</v>
      </c>
      <c r="H184">
        <v>1.01</v>
      </c>
      <c r="I184" s="32">
        <f t="shared" si="89"/>
        <v>4.3157110914533335E-3</v>
      </c>
      <c r="J184" s="77">
        <f t="shared" si="87"/>
        <v>2.6646825416034341</v>
      </c>
      <c r="K184" s="30"/>
      <c r="L184" s="2">
        <v>282.3</v>
      </c>
      <c r="M184" s="38">
        <f t="shared" si="88"/>
        <v>256.79230700636941</v>
      </c>
      <c r="O184">
        <v>7</v>
      </c>
      <c r="P184">
        <v>282.3</v>
      </c>
    </row>
    <row r="185" spans="3:16">
      <c r="E185" s="47">
        <v>8</v>
      </c>
      <c r="F185" s="2">
        <v>1.14E-2</v>
      </c>
      <c r="G185" s="33">
        <v>2.09</v>
      </c>
      <c r="H185">
        <v>1.05</v>
      </c>
      <c r="I185" s="32">
        <f t="shared" si="89"/>
        <v>4.849044165E-3</v>
      </c>
      <c r="J185" s="77">
        <f t="shared" si="87"/>
        <v>2.3509787933639084</v>
      </c>
      <c r="K185" s="30">
        <f>(1-(J185/3.89))*100</f>
        <v>39.563527162881542</v>
      </c>
      <c r="L185" s="2">
        <v>478</v>
      </c>
      <c r="M185" s="38">
        <f t="shared" si="88"/>
        <v>469.93184713375791</v>
      </c>
      <c r="O185">
        <v>8</v>
      </c>
      <c r="P185">
        <v>478</v>
      </c>
    </row>
    <row r="186" spans="3:16">
      <c r="E186" s="33" t="s">
        <v>102</v>
      </c>
      <c r="F186" s="80">
        <f>AVERAGE(F178:F185)</f>
        <v>1.115E-2</v>
      </c>
      <c r="G186" s="51">
        <f>AVERAGE(G178:G185)</f>
        <v>2.1112500000000001</v>
      </c>
      <c r="H186" s="51">
        <f t="shared" ref="H186:M186" si="91">AVERAGE(H178:H185)</f>
        <v>1.0562499999999999</v>
      </c>
      <c r="I186" s="51">
        <f>AVERAGE(I178:I185)</f>
        <v>4.9440735973116674E-3</v>
      </c>
      <c r="J186" s="78">
        <f t="shared" si="91"/>
        <v>2.2692304579794325</v>
      </c>
      <c r="K186" s="51">
        <f>AVERAGE(K178:K185)</f>
        <v>43.117292977480631</v>
      </c>
      <c r="L186" s="51">
        <f t="shared" si="91"/>
        <v>409.66250000000002</v>
      </c>
      <c r="M186" s="51">
        <f t="shared" si="91"/>
        <v>408.20057372611461</v>
      </c>
    </row>
    <row r="187" spans="3:16">
      <c r="E187" s="33" t="s">
        <v>76</v>
      </c>
      <c r="F187" s="80">
        <f>STDEV(F178:F185)</f>
        <v>2.9760952365713805E-4</v>
      </c>
      <c r="G187" s="51">
        <f>STDEV(G178:G185)</f>
        <v>5.5145910352186876E-2</v>
      </c>
      <c r="H187" s="51">
        <f t="shared" ref="H187:M187" si="92">STDEV(H178:H185)</f>
        <v>2.6152028055746891E-2</v>
      </c>
      <c r="I187" s="51">
        <f t="shared" si="92"/>
        <v>3.6410649971321455E-4</v>
      </c>
      <c r="J187" s="78">
        <f t="shared" si="92"/>
        <v>0.22035853912244394</v>
      </c>
      <c r="K187" s="51">
        <f>STDEV(K178:K185)</f>
        <v>4.2134101419390326</v>
      </c>
      <c r="L187" s="51">
        <f t="shared" si="92"/>
        <v>86.997650830352825</v>
      </c>
      <c r="M187" s="51">
        <f t="shared" si="92"/>
        <v>88.558366463389888</v>
      </c>
    </row>
    <row r="188" spans="3:16">
      <c r="G188" s="29"/>
      <c r="H188" s="29"/>
      <c r="I188" s="29"/>
      <c r="J188" s="29"/>
      <c r="K188" s="29"/>
      <c r="L188" s="29"/>
      <c r="M188" s="29"/>
    </row>
    <row r="189" spans="3:16">
      <c r="E189" s="29"/>
      <c r="F189" s="29"/>
      <c r="G189" s="29"/>
      <c r="H189" s="29"/>
      <c r="I189" s="29"/>
      <c r="J189" s="29"/>
      <c r="K189" s="29"/>
      <c r="L189" s="29"/>
      <c r="M189" s="29"/>
    </row>
    <row r="190" spans="3:16">
      <c r="C190" s="52" t="s">
        <v>93</v>
      </c>
      <c r="D190" s="53">
        <v>15</v>
      </c>
      <c r="E190" s="33"/>
      <c r="F190" s="47" t="s">
        <v>71</v>
      </c>
      <c r="G190" s="47" t="s">
        <v>72</v>
      </c>
      <c r="H190" s="47" t="s">
        <v>94</v>
      </c>
      <c r="I190" s="47" t="s">
        <v>95</v>
      </c>
      <c r="J190" s="47" t="s">
        <v>73</v>
      </c>
      <c r="K190" s="47" t="s">
        <v>96</v>
      </c>
      <c r="L190" s="47" t="s">
        <v>97</v>
      </c>
      <c r="M190" s="47" t="s">
        <v>98</v>
      </c>
      <c r="P190" t="s">
        <v>99</v>
      </c>
    </row>
    <row r="191" spans="3:16">
      <c r="E191" s="47">
        <v>1</v>
      </c>
      <c r="F191" s="2">
        <v>9.7000000000000003E-3</v>
      </c>
      <c r="G191" s="33">
        <v>2</v>
      </c>
      <c r="H191" s="2">
        <v>1</v>
      </c>
      <c r="I191" s="32">
        <f>(4/3)*3.14159*((H191/10)^3)</f>
        <v>4.1887866666666671E-3</v>
      </c>
      <c r="J191" s="31">
        <f t="shared" ref="J191" si="93">F191/I191</f>
        <v>2.3157063779805767</v>
      </c>
      <c r="K191" s="30">
        <f>(1-(J191/3.89))*100</f>
        <v>40.470273059625285</v>
      </c>
      <c r="L191" s="2">
        <v>456</v>
      </c>
      <c r="M191" s="38">
        <f>2.8*(L191)/3.14*(H191^2)</f>
        <v>406.62420382165601</v>
      </c>
      <c r="O191">
        <v>1</v>
      </c>
      <c r="P191">
        <v>456</v>
      </c>
    </row>
    <row r="192" spans="3:16">
      <c r="E192" s="47">
        <v>2</v>
      </c>
      <c r="F192" s="2">
        <v>9.1999999999999998E-3</v>
      </c>
      <c r="G192" s="33">
        <v>2.02</v>
      </c>
      <c r="H192" s="2">
        <v>1.01</v>
      </c>
      <c r="I192" s="32">
        <f t="shared" ref="I192:I198" si="94">(4/3)*3.14159*((H192/10)^3)</f>
        <v>4.3157110914533335E-3</v>
      </c>
      <c r="J192" s="31">
        <f t="shared" ref="J192:J198" si="95">F192/I192</f>
        <v>2.1317460332827474</v>
      </c>
      <c r="K192" s="30">
        <f t="shared" ref="K192:K198" si="96">(1-(J192/3.89))*100</f>
        <v>45.199330763939663</v>
      </c>
      <c r="L192" s="2">
        <v>247</v>
      </c>
      <c r="M192" s="38">
        <f t="shared" ref="M192:M198" si="97">2.8*(L192)/3.14*(H192^2)</f>
        <v>224.68189808917194</v>
      </c>
      <c r="O192">
        <v>2</v>
      </c>
      <c r="P192">
        <v>247</v>
      </c>
    </row>
    <row r="193" spans="3:16">
      <c r="E193" s="47">
        <v>3</v>
      </c>
      <c r="F193" s="2">
        <v>1.0200000000000001E-2</v>
      </c>
      <c r="G193" s="33">
        <v>2.0099999999999998</v>
      </c>
      <c r="H193" s="2">
        <v>1</v>
      </c>
      <c r="I193" s="32">
        <f t="shared" si="94"/>
        <v>4.1887866666666671E-3</v>
      </c>
      <c r="J193" s="31">
        <f t="shared" si="95"/>
        <v>2.4350726861239052</v>
      </c>
      <c r="K193" s="30">
        <f t="shared" si="96"/>
        <v>37.401730433832768</v>
      </c>
      <c r="L193" s="2">
        <v>248.7</v>
      </c>
      <c r="M193" s="38">
        <f t="shared" si="97"/>
        <v>221.77070063694262</v>
      </c>
      <c r="O193">
        <v>3</v>
      </c>
      <c r="P193">
        <v>248.7</v>
      </c>
    </row>
    <row r="194" spans="3:16">
      <c r="E194" s="47">
        <v>4</v>
      </c>
      <c r="F194" s="2">
        <v>9.4999999999999998E-3</v>
      </c>
      <c r="G194" s="33">
        <v>1.99</v>
      </c>
      <c r="H194" s="2">
        <v>1</v>
      </c>
      <c r="I194" s="32">
        <f t="shared" si="94"/>
        <v>4.1887866666666671E-3</v>
      </c>
      <c r="J194" s="31">
        <f t="shared" si="95"/>
        <v>2.2679598547232449</v>
      </c>
      <c r="K194" s="30">
        <f t="shared" si="96"/>
        <v>41.697690109942286</v>
      </c>
      <c r="L194" s="2">
        <v>327.3</v>
      </c>
      <c r="M194" s="38">
        <f t="shared" si="97"/>
        <v>291.85987261146494</v>
      </c>
      <c r="O194">
        <v>4</v>
      </c>
      <c r="P194">
        <v>327.3</v>
      </c>
    </row>
    <row r="195" spans="3:16">
      <c r="E195" s="47">
        <v>5</v>
      </c>
      <c r="F195" s="2">
        <v>1.0200000000000001E-2</v>
      </c>
      <c r="G195" s="33">
        <v>2.0099999999999998</v>
      </c>
      <c r="H195" s="2">
        <v>1.01</v>
      </c>
      <c r="I195" s="32">
        <f t="shared" si="94"/>
        <v>4.3157110914533335E-3</v>
      </c>
      <c r="J195" s="31">
        <f t="shared" si="95"/>
        <v>2.3634575586395679</v>
      </c>
      <c r="K195" s="30">
        <f t="shared" si="96"/>
        <v>39.242736281759186</v>
      </c>
      <c r="L195" s="2">
        <v>223.7</v>
      </c>
      <c r="M195" s="38">
        <f t="shared" si="97"/>
        <v>203.48720891719742</v>
      </c>
      <c r="O195">
        <v>5</v>
      </c>
      <c r="P195">
        <v>223.7</v>
      </c>
    </row>
    <row r="196" spans="3:16">
      <c r="E196" s="47">
        <v>6</v>
      </c>
      <c r="F196" s="2">
        <v>1.0200000000000001E-2</v>
      </c>
      <c r="G196" s="33">
        <v>2.06</v>
      </c>
      <c r="H196" s="2">
        <v>1.03</v>
      </c>
      <c r="I196" s="32">
        <f t="shared" si="94"/>
        <v>4.5772002879066681E-3</v>
      </c>
      <c r="J196" s="31">
        <f t="shared" si="95"/>
        <v>2.2284364586249858</v>
      </c>
      <c r="K196" s="30">
        <f t="shared" si="96"/>
        <v>42.713715716581348</v>
      </c>
      <c r="L196" s="2">
        <v>360.3</v>
      </c>
      <c r="M196" s="38">
        <f t="shared" si="97"/>
        <v>340.85297961783436</v>
      </c>
      <c r="O196">
        <v>6</v>
      </c>
      <c r="P196">
        <v>360.3</v>
      </c>
    </row>
    <row r="197" spans="3:16">
      <c r="E197" s="47">
        <v>7</v>
      </c>
      <c r="F197" s="2">
        <v>9.9000000000000008E-3</v>
      </c>
      <c r="G197" s="33">
        <v>2.02</v>
      </c>
      <c r="H197" s="2">
        <v>1.01</v>
      </c>
      <c r="I197" s="32">
        <f t="shared" si="94"/>
        <v>4.3157110914533335E-3</v>
      </c>
      <c r="J197" s="31">
        <f t="shared" si="95"/>
        <v>2.2939441010325217</v>
      </c>
      <c r="K197" s="30">
        <f t="shared" si="96"/>
        <v>41.02971462641333</v>
      </c>
      <c r="L197" s="2">
        <v>398</v>
      </c>
      <c r="M197" s="38">
        <f t="shared" si="97"/>
        <v>362.03803821656049</v>
      </c>
      <c r="O197">
        <v>7</v>
      </c>
      <c r="P197">
        <v>398</v>
      </c>
    </row>
    <row r="198" spans="3:16">
      <c r="E198" s="47">
        <v>8</v>
      </c>
      <c r="F198" s="48">
        <v>9.7000000000000003E-3</v>
      </c>
      <c r="G198" s="49">
        <v>2.0099999999999998</v>
      </c>
      <c r="H198">
        <v>1</v>
      </c>
      <c r="I198" s="32">
        <f t="shared" si="94"/>
        <v>4.1887866666666671E-3</v>
      </c>
      <c r="J198" s="31">
        <f t="shared" si="95"/>
        <v>2.3157063779805767</v>
      </c>
      <c r="K198" s="30">
        <f t="shared" si="96"/>
        <v>40.470273059625285</v>
      </c>
      <c r="L198" s="2">
        <v>399.7</v>
      </c>
      <c r="M198" s="38">
        <f t="shared" si="97"/>
        <v>356.42038216560502</v>
      </c>
      <c r="O198">
        <v>8</v>
      </c>
      <c r="P198">
        <v>399.7</v>
      </c>
    </row>
    <row r="199" spans="3:16">
      <c r="E199" s="33" t="s">
        <v>102</v>
      </c>
      <c r="F199" s="80">
        <f>AVERAGE(F191:F198)</f>
        <v>9.8250000000000004E-3</v>
      </c>
      <c r="G199" s="51">
        <f>AVERAGE(G191:G198)</f>
        <v>2.0149999999999997</v>
      </c>
      <c r="H199" s="51">
        <f t="shared" ref="H199:M199" si="98">AVERAGE(H191:H198)</f>
        <v>1.0074999999999998</v>
      </c>
      <c r="I199" s="51">
        <f t="shared" si="98"/>
        <v>4.2849350286166673E-3</v>
      </c>
      <c r="J199" s="76">
        <f t="shared" si="98"/>
        <v>2.2940036810485154</v>
      </c>
      <c r="K199" s="51">
        <f t="shared" si="98"/>
        <v>41.0281830064649</v>
      </c>
      <c r="L199" s="51">
        <f t="shared" si="98"/>
        <v>332.58749999999998</v>
      </c>
      <c r="M199" s="51">
        <f t="shared" si="98"/>
        <v>300.96691050955411</v>
      </c>
    </row>
    <row r="200" spans="3:16">
      <c r="E200" s="33" t="s">
        <v>76</v>
      </c>
      <c r="F200" s="80">
        <f>STDEV(F191:F198)</f>
        <v>3.6936238496708309E-4</v>
      </c>
      <c r="G200" s="51">
        <f>STDEV(G191:G198)</f>
        <v>2.070196678027067E-2</v>
      </c>
      <c r="H200" s="51">
        <f t="shared" ref="H200:M200" si="99">STDEV(H191:H198)</f>
        <v>1.0350983390135323E-2</v>
      </c>
      <c r="I200" s="51">
        <f t="shared" si="99"/>
        <v>1.3375804912586634E-4</v>
      </c>
      <c r="J200" s="76">
        <f t="shared" si="99"/>
        <v>9.0214988276338171E-2</v>
      </c>
      <c r="K200" s="51">
        <f t="shared" si="99"/>
        <v>2.3191513695716779</v>
      </c>
      <c r="L200" s="51">
        <f t="shared" si="99"/>
        <v>85.380065212637859</v>
      </c>
      <c r="M200" s="51">
        <f t="shared" si="99"/>
        <v>76.751738404733516</v>
      </c>
    </row>
    <row r="202" spans="3:16">
      <c r="C202" s="52" t="s">
        <v>93</v>
      </c>
      <c r="D202" s="53">
        <v>16</v>
      </c>
      <c r="E202" s="33"/>
      <c r="F202" s="47" t="s">
        <v>71</v>
      </c>
      <c r="G202" s="47" t="s">
        <v>72</v>
      </c>
      <c r="H202" s="47" t="s">
        <v>94</v>
      </c>
      <c r="I202" s="47" t="s">
        <v>95</v>
      </c>
      <c r="J202" s="47" t="s">
        <v>73</v>
      </c>
      <c r="K202" s="47" t="s">
        <v>96</v>
      </c>
      <c r="L202" s="47" t="s">
        <v>97</v>
      </c>
      <c r="M202" s="47" t="s">
        <v>98</v>
      </c>
      <c r="P202" t="s">
        <v>99</v>
      </c>
    </row>
    <row r="203" spans="3:16">
      <c r="E203" s="47">
        <v>1</v>
      </c>
      <c r="F203" s="2">
        <v>5.5999999999999999E-3</v>
      </c>
      <c r="G203" s="33">
        <v>1.73</v>
      </c>
      <c r="H203" s="2">
        <v>0.86</v>
      </c>
      <c r="I203" s="32">
        <f>(4/3)*3.14159*((H203/10)^3)</f>
        <v>2.6643028920533326E-3</v>
      </c>
      <c r="J203" s="31">
        <f t="shared" ref="J203" si="100">F203/I203</f>
        <v>2.1018631240099643</v>
      </c>
      <c r="K203" s="30">
        <f>(1-(J203/3.89))*100</f>
        <v>45.96752894575927</v>
      </c>
      <c r="L203" s="2">
        <v>273</v>
      </c>
      <c r="M203" s="38">
        <f>2.8*(L203)/3.14*(H203^2)</f>
        <v>180.04784713375793</v>
      </c>
      <c r="O203">
        <v>1</v>
      </c>
      <c r="P203">
        <v>273</v>
      </c>
    </row>
    <row r="204" spans="3:16">
      <c r="E204" s="47">
        <v>2</v>
      </c>
      <c r="F204" s="2">
        <v>5.7000000000000002E-3</v>
      </c>
      <c r="G204" s="33">
        <v>1.7000000000000002</v>
      </c>
      <c r="H204" s="2">
        <v>0.85</v>
      </c>
      <c r="I204" s="32">
        <f t="shared" ref="I204:I210" si="101">(4/3)*3.14159*((H204/10)^3)</f>
        <v>2.5724386116666659E-3</v>
      </c>
      <c r="J204" s="31">
        <f t="shared" ref="J204:J210" si="102">F204/I204</f>
        <v>2.2157963164403789</v>
      </c>
      <c r="K204" s="30">
        <f t="shared" ref="K204:K210" si="103">(1-(J204/3.89))*100</f>
        <v>43.038655104360444</v>
      </c>
      <c r="L204" s="2">
        <v>318.3</v>
      </c>
      <c r="M204" s="38">
        <f t="shared" ref="M204:M210" si="104">2.8*(L204)/3.14*(H204^2)</f>
        <v>205.0703503184713</v>
      </c>
      <c r="O204">
        <v>2</v>
      </c>
      <c r="P204">
        <v>318.3</v>
      </c>
    </row>
    <row r="205" spans="3:16">
      <c r="E205" s="47">
        <v>3</v>
      </c>
      <c r="F205" s="2">
        <v>5.4000000000000003E-3</v>
      </c>
      <c r="G205" s="33">
        <v>1.74</v>
      </c>
      <c r="H205" s="2">
        <v>0.87</v>
      </c>
      <c r="I205" s="32">
        <f t="shared" si="101"/>
        <v>2.7583285863599992E-3</v>
      </c>
      <c r="J205" s="31">
        <f t="shared" si="102"/>
        <v>1.9577072966227191</v>
      </c>
      <c r="K205" s="30">
        <f t="shared" si="103"/>
        <v>49.673334277050927</v>
      </c>
      <c r="L205" s="2">
        <v>324</v>
      </c>
      <c r="M205" s="38">
        <f t="shared" si="104"/>
        <v>218.68142675159234</v>
      </c>
      <c r="O205">
        <v>3</v>
      </c>
      <c r="P205">
        <v>324</v>
      </c>
    </row>
    <row r="206" spans="3:16">
      <c r="E206" s="47">
        <v>4</v>
      </c>
      <c r="F206" s="2">
        <v>5.4000000000000003E-3</v>
      </c>
      <c r="G206" s="33">
        <v>1.87</v>
      </c>
      <c r="H206" s="2">
        <v>0.94</v>
      </c>
      <c r="I206" s="32">
        <f t="shared" si="101"/>
        <v>3.4791391847466663E-3</v>
      </c>
      <c r="J206" s="31">
        <f t="shared" si="102"/>
        <v>1.5521080684770596</v>
      </c>
      <c r="K206" s="30"/>
      <c r="L206" s="2">
        <v>310.89999999999998</v>
      </c>
      <c r="M206" s="38">
        <f t="shared" si="104"/>
        <v>244.9654369426751</v>
      </c>
      <c r="O206">
        <v>4</v>
      </c>
      <c r="P206">
        <v>310.89999999999998</v>
      </c>
    </row>
    <row r="207" spans="3:16">
      <c r="E207" s="47">
        <v>5</v>
      </c>
      <c r="F207" s="2">
        <v>5.7999999999999996E-3</v>
      </c>
      <c r="G207" s="33">
        <v>1.7000000000000002</v>
      </c>
      <c r="H207" s="2">
        <v>0.85</v>
      </c>
      <c r="I207" s="32">
        <f t="shared" si="101"/>
        <v>2.5724386116666659E-3</v>
      </c>
      <c r="J207" s="31">
        <f t="shared" si="102"/>
        <v>2.2546699360270517</v>
      </c>
      <c r="K207" s="30">
        <f t="shared" si="103"/>
        <v>42.039333264086075</v>
      </c>
      <c r="L207" s="2">
        <v>271.7</v>
      </c>
      <c r="M207" s="38">
        <f t="shared" si="104"/>
        <v>175.04748407643305</v>
      </c>
      <c r="O207">
        <v>5</v>
      </c>
      <c r="P207">
        <v>271.7</v>
      </c>
    </row>
    <row r="208" spans="3:16">
      <c r="E208" s="47">
        <v>6</v>
      </c>
      <c r="F208" s="2">
        <v>5.5999999999999999E-3</v>
      </c>
      <c r="G208" s="33">
        <v>1.85</v>
      </c>
      <c r="H208" s="2">
        <v>0.92</v>
      </c>
      <c r="I208" s="32">
        <f t="shared" si="101"/>
        <v>3.2617579118933327E-3</v>
      </c>
      <c r="J208" s="31">
        <f t="shared" si="102"/>
        <v>1.7168656139625649</v>
      </c>
      <c r="K208" s="30">
        <f t="shared" si="103"/>
        <v>55.864637173198851</v>
      </c>
      <c r="L208" s="2">
        <v>226</v>
      </c>
      <c r="M208" s="38">
        <f t="shared" si="104"/>
        <v>170.57385987261145</v>
      </c>
      <c r="O208">
        <v>6</v>
      </c>
      <c r="P208">
        <v>226</v>
      </c>
    </row>
    <row r="209" spans="3:16">
      <c r="E209" s="47">
        <v>7</v>
      </c>
      <c r="F209" s="2">
        <v>5.4999999999999997E-3</v>
      </c>
      <c r="G209" s="33">
        <v>1.71</v>
      </c>
      <c r="H209" s="2">
        <v>0.85</v>
      </c>
      <c r="I209" s="32">
        <f t="shared" si="101"/>
        <v>2.5724386116666659E-3</v>
      </c>
      <c r="J209" s="31">
        <f t="shared" si="102"/>
        <v>2.138049077267032</v>
      </c>
      <c r="K209" s="30">
        <f t="shared" si="103"/>
        <v>45.037298784909211</v>
      </c>
      <c r="L209" s="2">
        <v>294</v>
      </c>
      <c r="M209" s="38">
        <f t="shared" si="104"/>
        <v>189.41464968152863</v>
      </c>
      <c r="O209">
        <v>7</v>
      </c>
      <c r="P209">
        <v>294</v>
      </c>
    </row>
    <row r="210" spans="3:16">
      <c r="E210" s="47">
        <v>8</v>
      </c>
      <c r="F210" s="48">
        <v>5.4999999999999997E-3</v>
      </c>
      <c r="G210" s="49">
        <v>1.7000000000000002</v>
      </c>
      <c r="H210">
        <v>0.85</v>
      </c>
      <c r="I210" s="32">
        <f t="shared" si="101"/>
        <v>2.5724386116666659E-3</v>
      </c>
      <c r="J210" s="31">
        <f t="shared" si="102"/>
        <v>2.138049077267032</v>
      </c>
      <c r="K210" s="30">
        <f t="shared" si="103"/>
        <v>45.037298784909211</v>
      </c>
      <c r="L210" s="2">
        <v>334</v>
      </c>
      <c r="M210" s="38">
        <f t="shared" si="104"/>
        <v>215.18535031847131</v>
      </c>
      <c r="O210">
        <v>8</v>
      </c>
      <c r="P210">
        <v>334</v>
      </c>
    </row>
    <row r="211" spans="3:16">
      <c r="E211" s="33" t="s">
        <v>102</v>
      </c>
      <c r="F211" s="80">
        <f>AVERAGE(F203:F210)</f>
        <v>5.5624999999999997E-3</v>
      </c>
      <c r="G211" s="51">
        <f>AVERAGE(G203:G210)</f>
        <v>1.75</v>
      </c>
      <c r="H211" s="51">
        <f>AVERAGE(H203:H210)</f>
        <v>0.87374999999999992</v>
      </c>
      <c r="I211" s="51">
        <f t="shared" ref="I211:M211" si="105">AVERAGE(I203:I210)</f>
        <v>2.8066603777149989E-3</v>
      </c>
      <c r="J211" s="76">
        <f t="shared" si="105"/>
        <v>2.0093885637592255</v>
      </c>
      <c r="K211" s="51">
        <f t="shared" si="105"/>
        <v>46.665440904896286</v>
      </c>
      <c r="L211" s="51">
        <f t="shared" si="105"/>
        <v>293.98749999999995</v>
      </c>
      <c r="M211" s="51">
        <f t="shared" si="105"/>
        <v>199.87330063694262</v>
      </c>
    </row>
    <row r="212" spans="3:16">
      <c r="E212" s="33" t="s">
        <v>76</v>
      </c>
      <c r="F212" s="80">
        <f>STDEV(F203:F210)</f>
        <v>1.4078859531733577E-4</v>
      </c>
      <c r="G212" s="51">
        <f>STDEV(G203:G210)</f>
        <v>6.9693205243716957E-2</v>
      </c>
      <c r="H212" s="51">
        <f t="shared" ref="H212:M212" si="106">STDEV(H203:H210)</f>
        <v>3.5831949031954309E-2</v>
      </c>
      <c r="I212" s="51">
        <f t="shared" si="106"/>
        <v>3.5884387175336716E-4</v>
      </c>
      <c r="J212" s="76">
        <f t="shared" si="106"/>
        <v>0.25121754733136226</v>
      </c>
      <c r="K212" s="51">
        <f t="shared" si="106"/>
        <v>4.7260952222173351</v>
      </c>
      <c r="L212" s="51">
        <f t="shared" si="106"/>
        <v>35.733914962839819</v>
      </c>
      <c r="M212" s="51">
        <f t="shared" si="106"/>
        <v>25.706377582265468</v>
      </c>
    </row>
    <row r="214" spans="3:16">
      <c r="C214" s="52" t="s">
        <v>93</v>
      </c>
      <c r="D214" s="53">
        <v>17</v>
      </c>
      <c r="E214" s="33"/>
      <c r="F214" s="47" t="s">
        <v>71</v>
      </c>
      <c r="G214" s="47" t="s">
        <v>72</v>
      </c>
      <c r="H214" s="47" t="s">
        <v>94</v>
      </c>
      <c r="I214" s="47" t="s">
        <v>95</v>
      </c>
      <c r="J214" s="47" t="s">
        <v>73</v>
      </c>
      <c r="K214" s="47" t="s">
        <v>96</v>
      </c>
      <c r="L214" s="47" t="s">
        <v>97</v>
      </c>
      <c r="M214" s="47" t="s">
        <v>98</v>
      </c>
      <c r="P214" t="s">
        <v>99</v>
      </c>
    </row>
    <row r="215" spans="3:16">
      <c r="E215" s="47">
        <v>1</v>
      </c>
      <c r="F215" s="2">
        <v>7.7999999999999996E-3</v>
      </c>
      <c r="G215" s="33">
        <v>1.98</v>
      </c>
      <c r="H215" s="2">
        <v>0.99</v>
      </c>
      <c r="I215" s="32">
        <f>(4/3)*3.14159*((H215/10)^3)</f>
        <v>4.0643755138799996E-3</v>
      </c>
      <c r="J215" s="31">
        <f t="shared" ref="J215" si="107">F215/I215</f>
        <v>1.9191140123157169</v>
      </c>
      <c r="K215" s="30">
        <f>(1-(J215/3.89))*100</f>
        <v>50.665449554865894</v>
      </c>
      <c r="L215" s="2">
        <v>224.7</v>
      </c>
      <c r="M215" s="38">
        <f>2.8*(L215)/3.14*(H215^2)</f>
        <v>196.38207515923563</v>
      </c>
      <c r="O215">
        <v>1</v>
      </c>
      <c r="P215">
        <v>224.7</v>
      </c>
    </row>
    <row r="216" spans="3:16">
      <c r="E216" s="47">
        <v>2</v>
      </c>
      <c r="F216" s="2">
        <v>8.0999999999999996E-3</v>
      </c>
      <c r="G216" s="33">
        <v>2</v>
      </c>
      <c r="H216" s="2">
        <v>1</v>
      </c>
      <c r="I216" s="32">
        <f t="shared" ref="I216:I222" si="108">(4/3)*3.14159*((H216/10)^3)</f>
        <v>4.1887866666666671E-3</v>
      </c>
      <c r="J216" s="31">
        <f t="shared" ref="J216:J222" si="109">F216/I216</f>
        <v>1.9337341919219246</v>
      </c>
      <c r="K216" s="30">
        <f t="shared" ref="K216:K221" si="110">(1-(J216/3.89))*100</f>
        <v>50.289609462161323</v>
      </c>
      <c r="L216" s="2">
        <v>326.7</v>
      </c>
      <c r="M216" s="38">
        <f t="shared" ref="M216:M222" si="111">2.8*(L216)/3.14*(H216^2)</f>
        <v>291.32484076433116</v>
      </c>
      <c r="O216">
        <v>2</v>
      </c>
      <c r="P216">
        <v>326.7</v>
      </c>
    </row>
    <row r="217" spans="3:16">
      <c r="E217" s="47">
        <v>3</v>
      </c>
      <c r="F217" s="2">
        <v>8.2000000000000007E-3</v>
      </c>
      <c r="G217" s="33">
        <v>1.97</v>
      </c>
      <c r="H217" s="2">
        <v>0.99</v>
      </c>
      <c r="I217" s="32">
        <f t="shared" si="108"/>
        <v>4.0643755138799996E-3</v>
      </c>
      <c r="J217" s="31">
        <f t="shared" si="109"/>
        <v>2.0175301155113949</v>
      </c>
      <c r="K217" s="30">
        <f t="shared" si="110"/>
        <v>48.135472608961571</v>
      </c>
      <c r="L217" s="2">
        <v>345.7</v>
      </c>
      <c r="M217" s="38">
        <f t="shared" si="111"/>
        <v>302.13299235668785</v>
      </c>
      <c r="O217">
        <v>3</v>
      </c>
      <c r="P217">
        <v>345.7</v>
      </c>
    </row>
    <row r="218" spans="3:16">
      <c r="E218" s="47">
        <v>4</v>
      </c>
      <c r="F218" s="2">
        <v>8.2000000000000007E-3</v>
      </c>
      <c r="G218" s="33">
        <v>1.9500000000000002</v>
      </c>
      <c r="H218" s="2">
        <v>0.97</v>
      </c>
      <c r="I218" s="32">
        <f t="shared" si="108"/>
        <v>3.8229924934266666E-3</v>
      </c>
      <c r="J218" s="31">
        <f t="shared" si="109"/>
        <v>2.1449165840893625</v>
      </c>
      <c r="K218" s="30">
        <f t="shared" si="110"/>
        <v>44.86075619307551</v>
      </c>
      <c r="L218" s="2">
        <v>217</v>
      </c>
      <c r="M218" s="38">
        <f t="shared" si="111"/>
        <v>182.06714649681524</v>
      </c>
      <c r="O218">
        <v>4</v>
      </c>
      <c r="P218">
        <v>217</v>
      </c>
    </row>
    <row r="219" spans="3:16">
      <c r="E219" s="47">
        <v>5</v>
      </c>
      <c r="F219" s="2">
        <v>8.0000000000000002E-3</v>
      </c>
      <c r="G219" s="33">
        <v>2.0099999999999998</v>
      </c>
      <c r="H219" s="2">
        <v>1</v>
      </c>
      <c r="I219" s="32">
        <f t="shared" si="108"/>
        <v>4.1887866666666671E-3</v>
      </c>
      <c r="J219" s="31">
        <f t="shared" si="109"/>
        <v>1.909860930293259</v>
      </c>
      <c r="K219" s="30">
        <f t="shared" si="110"/>
        <v>50.903317987319816</v>
      </c>
      <c r="L219" s="2">
        <v>273</v>
      </c>
      <c r="M219" s="38">
        <f t="shared" si="111"/>
        <v>243.43949044585986</v>
      </c>
      <c r="O219">
        <v>5</v>
      </c>
      <c r="P219">
        <v>273</v>
      </c>
    </row>
    <row r="220" spans="3:16">
      <c r="E220" s="47">
        <v>6</v>
      </c>
      <c r="F220" s="2">
        <v>8.0999999999999996E-3</v>
      </c>
      <c r="G220" s="33">
        <v>1.96</v>
      </c>
      <c r="H220" s="2">
        <v>0.98</v>
      </c>
      <c r="I220" s="32">
        <f t="shared" si="108"/>
        <v>3.9424525003733338E-3</v>
      </c>
      <c r="J220" s="31">
        <f t="shared" si="109"/>
        <v>2.0545586786988461</v>
      </c>
      <c r="K220" s="30">
        <f t="shared" si="110"/>
        <v>47.183581524451256</v>
      </c>
      <c r="L220" s="2">
        <v>255.7</v>
      </c>
      <c r="M220" s="38">
        <f t="shared" si="111"/>
        <v>218.98343439490441</v>
      </c>
      <c r="O220">
        <v>6</v>
      </c>
      <c r="P220">
        <v>255.7</v>
      </c>
    </row>
    <row r="221" spans="3:16">
      <c r="E221" s="47">
        <v>7</v>
      </c>
      <c r="F221" s="2">
        <v>8.3999999999999995E-3</v>
      </c>
      <c r="G221" s="33">
        <v>1.92</v>
      </c>
      <c r="H221" s="2">
        <v>0.96</v>
      </c>
      <c r="I221" s="32">
        <f t="shared" si="108"/>
        <v>3.7059703603199998E-3</v>
      </c>
      <c r="J221" s="31">
        <f t="shared" si="109"/>
        <v>2.2666128390931557</v>
      </c>
      <c r="K221" s="30">
        <f t="shared" si="110"/>
        <v>41.732317761101399</v>
      </c>
      <c r="L221" s="2">
        <v>308</v>
      </c>
      <c r="M221" s="38">
        <f t="shared" si="111"/>
        <v>253.11714649681528</v>
      </c>
      <c r="O221">
        <v>7</v>
      </c>
      <c r="P221">
        <v>308</v>
      </c>
    </row>
    <row r="222" spans="3:16">
      <c r="E222" s="47">
        <v>8</v>
      </c>
      <c r="F222" s="48">
        <v>8.0999999999999996E-3</v>
      </c>
      <c r="G222" s="49">
        <v>1.91</v>
      </c>
      <c r="H222">
        <v>0.95</v>
      </c>
      <c r="I222" s="32">
        <f t="shared" si="108"/>
        <v>3.5913609683333333E-3</v>
      </c>
      <c r="J222" s="31">
        <f t="shared" si="109"/>
        <v>2.2554123830551682</v>
      </c>
      <c r="K222" s="30">
        <f>(1-(J222/3.89))*100</f>
        <v>42.020247222232179</v>
      </c>
      <c r="L222" s="2">
        <v>193</v>
      </c>
      <c r="M222" s="38">
        <f t="shared" si="111"/>
        <v>155.32197452229298</v>
      </c>
      <c r="O222">
        <v>8</v>
      </c>
      <c r="P222">
        <v>193</v>
      </c>
    </row>
    <row r="223" spans="3:16">
      <c r="E223" s="33" t="s">
        <v>102</v>
      </c>
      <c r="F223" s="80">
        <f>AVERAGE(F215:F222)</f>
        <v>8.1124999999999999E-3</v>
      </c>
      <c r="G223" s="51">
        <f>AVERAGE(G215:G222)</f>
        <v>1.9625000000000001</v>
      </c>
      <c r="H223" s="51">
        <f>AVERAGE(H215:H222)</f>
        <v>0.98</v>
      </c>
      <c r="I223" s="51">
        <f t="shared" ref="I223:M223" si="112">AVERAGE(I215:I222)</f>
        <v>3.9461375854433324E-3</v>
      </c>
      <c r="J223" s="76">
        <f t="shared" si="112"/>
        <v>2.0627174668723538</v>
      </c>
      <c r="K223" s="51">
        <f t="shared" si="112"/>
        <v>46.973844039271121</v>
      </c>
      <c r="L223" s="51">
        <f t="shared" si="112"/>
        <v>267.97500000000002</v>
      </c>
      <c r="M223" s="51">
        <f t="shared" si="112"/>
        <v>230.34613757961782</v>
      </c>
    </row>
    <row r="224" spans="3:16">
      <c r="E224" s="33" t="s">
        <v>76</v>
      </c>
      <c r="F224" s="80">
        <f>STDEV(F215:F222)</f>
        <v>1.726888200533798E-4</v>
      </c>
      <c r="G224" s="51">
        <f>STDEV(G215:G222)</f>
        <v>3.5355339059327355E-2</v>
      </c>
      <c r="H224" s="51">
        <f t="shared" ref="H224:M224" si="113">STDEV(H215:H222)</f>
        <v>1.8516401995451046E-2</v>
      </c>
      <c r="I224" s="51">
        <f t="shared" si="113"/>
        <v>2.2182444998893944E-4</v>
      </c>
      <c r="J224" s="76">
        <f t="shared" si="113"/>
        <v>0.1455008930296551</v>
      </c>
      <c r="K224" s="51">
        <f>STDEV(K215:K222)</f>
        <v>3.7403828542327791</v>
      </c>
      <c r="L224" s="51">
        <f t="shared" si="113"/>
        <v>55.239937674527667</v>
      </c>
      <c r="M224" s="51">
        <f t="shared" si="113"/>
        <v>51.829203129737735</v>
      </c>
    </row>
    <row r="226" spans="3:16">
      <c r="C226" s="52" t="s">
        <v>93</v>
      </c>
      <c r="D226" s="71">
        <v>46039</v>
      </c>
      <c r="E226" s="33"/>
      <c r="F226" s="47" t="s">
        <v>71</v>
      </c>
      <c r="G226" s="47" t="s">
        <v>72</v>
      </c>
      <c r="H226" s="47" t="s">
        <v>94</v>
      </c>
      <c r="I226" s="47" t="s">
        <v>95</v>
      </c>
      <c r="J226" s="47" t="s">
        <v>73</v>
      </c>
      <c r="K226" s="47" t="s">
        <v>96</v>
      </c>
      <c r="L226" s="47" t="s">
        <v>97</v>
      </c>
      <c r="M226" s="47" t="s">
        <v>98</v>
      </c>
      <c r="P226" t="s">
        <v>99</v>
      </c>
    </row>
    <row r="227" spans="3:16">
      <c r="E227" s="47">
        <v>1</v>
      </c>
      <c r="F227" s="2">
        <v>1.06E-2</v>
      </c>
      <c r="G227" s="42">
        <v>2.0499999999999998</v>
      </c>
      <c r="H227" s="2">
        <f>G227/2</f>
        <v>1.0249999999999999</v>
      </c>
      <c r="I227" s="32">
        <f>(4/3)*3.14159*((H227/10)^3)</f>
        <v>4.5108650914583315E-3</v>
      </c>
      <c r="J227" s="31">
        <f t="shared" ref="J227" si="114">F227/I227</f>
        <v>2.349881848621878</v>
      </c>
      <c r="K227" s="30">
        <f>(1-(J227/3.89))*100</f>
        <v>39.591726256507002</v>
      </c>
      <c r="L227" s="2">
        <v>330.7</v>
      </c>
      <c r="M227" s="38">
        <f>2.8*(L227)/3.14*(H227^2)</f>
        <v>309.82061305732475</v>
      </c>
      <c r="O227">
        <v>1</v>
      </c>
      <c r="P227">
        <v>330.7</v>
      </c>
    </row>
    <row r="228" spans="3:16">
      <c r="E228" s="47">
        <v>2</v>
      </c>
      <c r="F228" s="2">
        <v>9.1000000000000004E-3</v>
      </c>
      <c r="G228" s="42">
        <v>2</v>
      </c>
      <c r="H228" s="2">
        <f t="shared" ref="H228:H234" si="115">G228/2</f>
        <v>1</v>
      </c>
      <c r="I228" s="32">
        <f t="shared" ref="I228:I234" si="116">(4/3)*3.14159*((H228/10)^3)</f>
        <v>4.1887866666666671E-3</v>
      </c>
      <c r="J228" s="31">
        <f t="shared" ref="J228:J234" si="117">F228/I228</f>
        <v>2.1724668082085823</v>
      </c>
      <c r="K228" s="30">
        <f t="shared" ref="K228:K234" si="118">(1-(J228/3.89))*100</f>
        <v>44.152524210576296</v>
      </c>
      <c r="L228" s="2">
        <v>284</v>
      </c>
      <c r="M228" s="38">
        <f t="shared" ref="M228:M234" si="119">2.8*(L228)/3.14*(H228^2)</f>
        <v>253.24840764331208</v>
      </c>
      <c r="O228">
        <v>2</v>
      </c>
      <c r="P228">
        <v>284</v>
      </c>
    </row>
    <row r="229" spans="3:16">
      <c r="E229" s="47">
        <v>3</v>
      </c>
      <c r="F229" s="2">
        <v>0.01</v>
      </c>
      <c r="G229" s="42">
        <v>2.09</v>
      </c>
      <c r="H229" s="2">
        <f t="shared" si="115"/>
        <v>1.0449999999999999</v>
      </c>
      <c r="I229" s="32">
        <f t="shared" si="116"/>
        <v>4.7801014488516652E-3</v>
      </c>
      <c r="J229" s="31">
        <f t="shared" si="117"/>
        <v>2.0920058092914164</v>
      </c>
      <c r="K229" s="30">
        <f t="shared" si="118"/>
        <v>46.220930352405752</v>
      </c>
      <c r="L229" s="2">
        <v>513</v>
      </c>
      <c r="M229" s="38">
        <f t="shared" si="119"/>
        <v>499.54927070063678</v>
      </c>
      <c r="O229">
        <v>3</v>
      </c>
      <c r="P229">
        <v>513</v>
      </c>
    </row>
    <row r="230" spans="3:16">
      <c r="E230" s="47">
        <v>4</v>
      </c>
      <c r="F230" s="2">
        <v>9.1000000000000004E-3</v>
      </c>
      <c r="G230" s="42">
        <v>2.02</v>
      </c>
      <c r="H230" s="2">
        <f t="shared" si="115"/>
        <v>1.01</v>
      </c>
      <c r="I230" s="32">
        <f t="shared" si="116"/>
        <v>4.3157110914533335E-3</v>
      </c>
      <c r="J230" s="31">
        <f t="shared" si="117"/>
        <v>2.1085748807470654</v>
      </c>
      <c r="K230" s="30">
        <f t="shared" si="118"/>
        <v>45.794990212157707</v>
      </c>
      <c r="L230" s="2">
        <v>225.7</v>
      </c>
      <c r="M230" s="38">
        <f t="shared" si="119"/>
        <v>205.30649554140123</v>
      </c>
      <c r="O230">
        <v>4</v>
      </c>
      <c r="P230">
        <v>225.7</v>
      </c>
    </row>
    <row r="231" spans="3:16">
      <c r="E231" s="47">
        <v>5</v>
      </c>
      <c r="F231" s="2">
        <v>1.06E-2</v>
      </c>
      <c r="G231" s="42">
        <v>2.0299999999999998</v>
      </c>
      <c r="H231" s="2">
        <f t="shared" si="115"/>
        <v>1.0149999999999999</v>
      </c>
      <c r="I231" s="32">
        <f t="shared" si="116"/>
        <v>4.3801236348216654E-3</v>
      </c>
      <c r="J231" s="31">
        <f t="shared" si="117"/>
        <v>2.4200230139009702</v>
      </c>
      <c r="K231" s="30">
        <f t="shared" si="118"/>
        <v>37.788611467841385</v>
      </c>
      <c r="L231" s="2">
        <v>343</v>
      </c>
      <c r="M231" s="38">
        <f t="shared" si="119"/>
        <v>315.1044872611464</v>
      </c>
      <c r="O231">
        <v>5</v>
      </c>
      <c r="P231">
        <v>343</v>
      </c>
    </row>
    <row r="232" spans="3:16">
      <c r="E232" s="47">
        <v>6</v>
      </c>
      <c r="F232" s="2">
        <v>8.9999999999999993E-3</v>
      </c>
      <c r="G232" s="42">
        <v>2.11</v>
      </c>
      <c r="H232" s="2">
        <f t="shared" si="115"/>
        <v>1.0549999999999999</v>
      </c>
      <c r="I232" s="32">
        <f t="shared" si="116"/>
        <v>4.9186466150483322E-3</v>
      </c>
      <c r="J232" s="31">
        <f t="shared" si="117"/>
        <v>1.8297716230446375</v>
      </c>
      <c r="K232" s="30">
        <f t="shared" si="118"/>
        <v>52.962169073402634</v>
      </c>
      <c r="L232" s="2">
        <v>326.7</v>
      </c>
      <c r="M232" s="38">
        <f t="shared" si="119"/>
        <v>324.25183089171969</v>
      </c>
      <c r="O232">
        <v>6</v>
      </c>
      <c r="P232">
        <v>326.7</v>
      </c>
    </row>
    <row r="233" spans="3:16">
      <c r="E233" s="47">
        <v>7</v>
      </c>
      <c r="F233" s="2">
        <v>9.2999999999999992E-3</v>
      </c>
      <c r="G233" s="42">
        <v>2.14</v>
      </c>
      <c r="H233" s="2">
        <f t="shared" si="115"/>
        <v>1.07</v>
      </c>
      <c r="I233" s="32">
        <f t="shared" si="116"/>
        <v>5.1314437844933343E-3</v>
      </c>
      <c r="J233" s="31">
        <f t="shared" si="117"/>
        <v>1.8123554287203905</v>
      </c>
      <c r="K233" s="30">
        <f t="shared" si="118"/>
        <v>53.409886151146765</v>
      </c>
      <c r="L233" s="2">
        <v>281.7</v>
      </c>
      <c r="M233" s="38">
        <f t="shared" si="119"/>
        <v>287.59596305732475</v>
      </c>
      <c r="O233">
        <v>7</v>
      </c>
      <c r="P233">
        <v>281.7</v>
      </c>
    </row>
    <row r="234" spans="3:16">
      <c r="E234" s="47">
        <v>8</v>
      </c>
      <c r="F234" s="48">
        <v>9.5999999999999992E-3</v>
      </c>
      <c r="G234">
        <v>2.12</v>
      </c>
      <c r="H234" s="2">
        <f t="shared" si="115"/>
        <v>1.06</v>
      </c>
      <c r="I234" s="32">
        <f t="shared" si="116"/>
        <v>4.988911940586668E-3</v>
      </c>
      <c r="J234" s="31">
        <f t="shared" si="117"/>
        <v>1.9242672779810768</v>
      </c>
      <c r="K234" s="30">
        <f t="shared" si="118"/>
        <v>50.532974859098289</v>
      </c>
      <c r="L234" s="2">
        <v>285</v>
      </c>
      <c r="M234" s="38">
        <f t="shared" si="119"/>
        <v>285.55184713375803</v>
      </c>
      <c r="O234">
        <v>8</v>
      </c>
      <c r="P234">
        <v>285</v>
      </c>
    </row>
    <row r="235" spans="3:16">
      <c r="E235" s="33" t="s">
        <v>102</v>
      </c>
      <c r="F235" s="80">
        <f>AVERAGE(F227:F234)</f>
        <v>9.6624999999999992E-3</v>
      </c>
      <c r="G235" s="51">
        <f>AVERAGE(G227:G234)</f>
        <v>2.0699999999999998</v>
      </c>
      <c r="H235" s="51">
        <f>AVERAGE(H227:H234)</f>
        <v>1.0349999999999999</v>
      </c>
      <c r="I235" s="51">
        <f>AVERAGE(I227:I234)</f>
        <v>4.6518237841724997E-3</v>
      </c>
      <c r="J235" s="76">
        <f t="shared" ref="J235:M235" si="120">AVERAGE(J227:J234)</f>
        <v>2.0886683363145018</v>
      </c>
      <c r="K235" s="51">
        <f t="shared" si="120"/>
        <v>46.306726572891989</v>
      </c>
      <c r="L235" s="51">
        <f t="shared" si="120"/>
        <v>323.72500000000002</v>
      </c>
      <c r="M235" s="51">
        <f t="shared" si="120"/>
        <v>310.053614410828</v>
      </c>
    </row>
    <row r="236" spans="3:16">
      <c r="E236" s="33" t="s">
        <v>76</v>
      </c>
      <c r="F236" s="80">
        <f>STDEV(F227:F234)</f>
        <v>6.6319034113249023E-4</v>
      </c>
      <c r="G236" s="51">
        <f>STDEV(G227:G234)</f>
        <v>5.1823877563477345E-2</v>
      </c>
      <c r="H236" s="51">
        <f t="shared" ref="H236" si="121">STDEV(H227:H234)</f>
        <v>2.5911938781738673E-2</v>
      </c>
      <c r="I236" s="51">
        <f t="shared" ref="I236:M236" si="122">STDEV(I227:I234)</f>
        <v>3.4895329012810079E-4</v>
      </c>
      <c r="J236" s="76">
        <f t="shared" si="122"/>
        <v>0.22547158627625216</v>
      </c>
      <c r="K236" s="51">
        <f t="shared" si="122"/>
        <v>5.7961847371784847</v>
      </c>
      <c r="L236" s="51">
        <f t="shared" si="122"/>
        <v>85.110646471855247</v>
      </c>
      <c r="M236" s="51">
        <f t="shared" si="122"/>
        <v>85.723168931396742</v>
      </c>
    </row>
    <row r="238" spans="3:16">
      <c r="C238" s="52" t="s">
        <v>93</v>
      </c>
      <c r="D238" s="53">
        <v>18</v>
      </c>
      <c r="E238" s="33"/>
      <c r="F238" s="47" t="s">
        <v>71</v>
      </c>
      <c r="G238" s="47" t="s">
        <v>72</v>
      </c>
      <c r="H238" s="47" t="s">
        <v>94</v>
      </c>
      <c r="I238" s="47" t="s">
        <v>95</v>
      </c>
      <c r="J238" s="47" t="s">
        <v>73</v>
      </c>
      <c r="K238" s="47" t="s">
        <v>96</v>
      </c>
      <c r="L238" s="47" t="s">
        <v>97</v>
      </c>
      <c r="M238" s="47" t="s">
        <v>98</v>
      </c>
      <c r="P238" t="s">
        <v>99</v>
      </c>
    </row>
    <row r="239" spans="3:16">
      <c r="E239" s="47">
        <v>1</v>
      </c>
      <c r="F239" s="2">
        <v>4.4999999999999997E-3</v>
      </c>
      <c r="G239" s="33">
        <v>1.71</v>
      </c>
      <c r="H239" s="2">
        <v>0.85</v>
      </c>
      <c r="I239" s="32">
        <f>(4/3)*3.14159*((H239/10)^3)</f>
        <v>2.5724386116666659E-3</v>
      </c>
      <c r="J239" s="31">
        <f t="shared" ref="J239" si="123">F239/I239</f>
        <v>1.7493128814002987</v>
      </c>
      <c r="K239" s="30">
        <f>(1-(J239/3.89))*100</f>
        <v>55.030517187652997</v>
      </c>
      <c r="L239" s="2">
        <v>215</v>
      </c>
      <c r="M239" s="38">
        <f>2.8*(L239)/3.14*(H239^2)</f>
        <v>138.51751592356686</v>
      </c>
      <c r="O239">
        <v>1</v>
      </c>
      <c r="P239">
        <v>215</v>
      </c>
    </row>
    <row r="240" spans="3:16">
      <c r="E240" s="47">
        <v>2</v>
      </c>
      <c r="F240" s="2">
        <v>4.7999999999999996E-3</v>
      </c>
      <c r="G240" s="33">
        <v>1.6800000000000002</v>
      </c>
      <c r="H240" s="2">
        <v>0.84</v>
      </c>
      <c r="I240" s="32">
        <f t="shared" ref="I240:I246" si="124">(4/3)*3.14159*((H240/10)^3)</f>
        <v>2.4827106124799994E-3</v>
      </c>
      <c r="J240" s="31">
        <f>F240/I240</f>
        <v>1.9333707182268984</v>
      </c>
      <c r="K240" s="30">
        <f t="shared" ref="K240:K246" si="125">(1-(J240/3.89))*100</f>
        <v>50.298953258948622</v>
      </c>
      <c r="L240" s="2">
        <v>195</v>
      </c>
      <c r="M240" s="38">
        <f t="shared" ref="M240:M245" si="126">2.8*(L240)/3.14*(H240^2)</f>
        <v>122.69350318471335</v>
      </c>
      <c r="O240">
        <v>2</v>
      </c>
      <c r="P240">
        <v>195</v>
      </c>
    </row>
    <row r="241" spans="3:16">
      <c r="E241" s="47">
        <v>3</v>
      </c>
      <c r="F241" s="2">
        <v>4.5999999999999999E-3</v>
      </c>
      <c r="G241" s="33">
        <v>1.61</v>
      </c>
      <c r="H241" s="2">
        <v>0.81</v>
      </c>
      <c r="I241" s="32">
        <f t="shared" si="124"/>
        <v>2.2260929749199996E-3</v>
      </c>
      <c r="J241" s="31">
        <f t="shared" ref="J241:J246" si="127">F241/I241</f>
        <v>2.0664006633259837</v>
      </c>
      <c r="K241" s="30">
        <f t="shared" si="125"/>
        <v>46.87916032581019</v>
      </c>
      <c r="L241" s="2">
        <v>221</v>
      </c>
      <c r="M241" s="38">
        <f t="shared" si="126"/>
        <v>129.29766878980894</v>
      </c>
      <c r="O241">
        <v>3</v>
      </c>
      <c r="P241">
        <v>221</v>
      </c>
    </row>
    <row r="242" spans="3:16">
      <c r="E242" s="47">
        <v>4</v>
      </c>
      <c r="F242" s="2">
        <v>4.4999999999999997E-3</v>
      </c>
      <c r="G242" s="33">
        <v>1.6</v>
      </c>
      <c r="H242" s="2">
        <v>0.8</v>
      </c>
      <c r="I242" s="32">
        <f t="shared" si="124"/>
        <v>2.1446587733333334E-3</v>
      </c>
      <c r="J242" s="31">
        <f t="shared" si="127"/>
        <v>2.0982358853319494</v>
      </c>
      <c r="K242" s="30">
        <f t="shared" si="125"/>
        <v>46.060774155991027</v>
      </c>
      <c r="L242" s="2">
        <v>266.3</v>
      </c>
      <c r="M242" s="38">
        <f t="shared" si="126"/>
        <v>151.97757961783441</v>
      </c>
      <c r="O242">
        <v>4</v>
      </c>
      <c r="P242">
        <v>266.3</v>
      </c>
    </row>
    <row r="243" spans="3:16">
      <c r="E243" s="47">
        <v>5</v>
      </c>
      <c r="F243" s="2">
        <v>4.8999999999999998E-3</v>
      </c>
      <c r="G243" s="33">
        <v>1.73</v>
      </c>
      <c r="H243" s="2">
        <v>0.86</v>
      </c>
      <c r="I243" s="32">
        <f t="shared" si="124"/>
        <v>2.6643028920533326E-3</v>
      </c>
      <c r="J243" s="31">
        <f t="shared" si="127"/>
        <v>1.8391302335087185</v>
      </c>
      <c r="K243" s="30">
        <f>(1-(J243/3.89))*100</f>
        <v>52.721587827539373</v>
      </c>
      <c r="L243" s="2">
        <v>208.3</v>
      </c>
      <c r="M243" s="38">
        <f t="shared" si="126"/>
        <v>137.37716687898086</v>
      </c>
      <c r="O243">
        <v>5</v>
      </c>
      <c r="P243">
        <v>208.3</v>
      </c>
    </row>
    <row r="244" spans="3:16">
      <c r="E244" s="47">
        <v>6</v>
      </c>
      <c r="F244" s="2">
        <v>4.7000000000000002E-3</v>
      </c>
      <c r="G244" s="33">
        <v>1.6800000000000002</v>
      </c>
      <c r="H244" s="2">
        <v>0.84</v>
      </c>
      <c r="I244" s="32">
        <f t="shared" si="124"/>
        <v>2.4827106124799994E-3</v>
      </c>
      <c r="J244" s="31">
        <f t="shared" si="127"/>
        <v>1.8930921615971716</v>
      </c>
      <c r="K244" s="30">
        <f t="shared" si="125"/>
        <v>51.334391732720519</v>
      </c>
      <c r="L244" s="2">
        <v>143.5</v>
      </c>
      <c r="M244" s="38">
        <f t="shared" si="126"/>
        <v>90.289834394904432</v>
      </c>
      <c r="O244">
        <v>6</v>
      </c>
      <c r="P244">
        <v>143.5</v>
      </c>
    </row>
    <row r="245" spans="3:16">
      <c r="E245" s="47">
        <v>7</v>
      </c>
      <c r="F245" s="2">
        <v>4.4999999999999997E-3</v>
      </c>
      <c r="G245" s="33">
        <v>1.66</v>
      </c>
      <c r="H245" s="2">
        <v>0.83</v>
      </c>
      <c r="I245" s="32">
        <f t="shared" si="124"/>
        <v>2.3950937617733324E-3</v>
      </c>
      <c r="J245" s="31">
        <f t="shared" si="127"/>
        <v>1.8788408503340555</v>
      </c>
      <c r="K245" s="30">
        <f t="shared" si="125"/>
        <v>51.700749348738938</v>
      </c>
      <c r="L245" s="2">
        <v>164.3</v>
      </c>
      <c r="M245" s="38">
        <f t="shared" si="126"/>
        <v>100.93043184713376</v>
      </c>
      <c r="O245">
        <v>7</v>
      </c>
      <c r="P245">
        <v>164.3</v>
      </c>
    </row>
    <row r="246" spans="3:16">
      <c r="E246" s="47">
        <v>8</v>
      </c>
      <c r="F246" s="48">
        <v>4.7000000000000002E-3</v>
      </c>
      <c r="G246" s="49">
        <v>1.72</v>
      </c>
      <c r="H246">
        <v>0.86</v>
      </c>
      <c r="I246" s="32">
        <f t="shared" si="124"/>
        <v>2.6643028920533326E-3</v>
      </c>
      <c r="J246" s="31">
        <f t="shared" si="127"/>
        <v>1.7640636933655056</v>
      </c>
      <c r="K246" s="30">
        <f t="shared" si="125"/>
        <v>54.65131893661939</v>
      </c>
      <c r="L246" s="2">
        <v>253</v>
      </c>
      <c r="M246" s="38">
        <f t="shared" ref="M246" si="128">2.8*(L246)/3.14*(H246^2)</f>
        <v>166.85752866242035</v>
      </c>
      <c r="O246">
        <v>8</v>
      </c>
      <c r="P246">
        <v>253</v>
      </c>
    </row>
    <row r="247" spans="3:16">
      <c r="E247" s="33" t="s">
        <v>102</v>
      </c>
      <c r="F247" s="80">
        <f>AVERAGE(F239:F246)</f>
        <v>4.6500000000000005E-3</v>
      </c>
      <c r="G247" s="51">
        <f>AVERAGE(G239:G246)</f>
        <v>1.6737500000000001</v>
      </c>
      <c r="H247" s="51">
        <f t="shared" ref="H247:M247" si="129">AVERAGE(H239:H246)</f>
        <v>0.83625000000000005</v>
      </c>
      <c r="I247" s="51">
        <f t="shared" si="129"/>
        <v>2.4540388913449991E-3</v>
      </c>
      <c r="J247" s="76">
        <f t="shared" si="129"/>
        <v>1.9028058858863228</v>
      </c>
      <c r="K247" s="51">
        <f t="shared" si="129"/>
        <v>51.084681596752631</v>
      </c>
      <c r="L247" s="51">
        <f t="shared" si="129"/>
        <v>208.29999999999998</v>
      </c>
      <c r="M247" s="51">
        <f t="shared" si="129"/>
        <v>129.74265366242037</v>
      </c>
    </row>
    <row r="248" spans="3:16">
      <c r="E248" s="33" t="s">
        <v>76</v>
      </c>
      <c r="F248" s="80">
        <f>STDEV(F239:F246)</f>
        <v>1.5118578920369097E-4</v>
      </c>
      <c r="G248" s="51">
        <f>STDEV(G239:G246)</f>
        <v>4.8384619752266572E-2</v>
      </c>
      <c r="H248" s="51">
        <f t="shared" ref="H248:M248" si="130">STDEV(H239:H246)</f>
        <v>2.1998376563477823E-2</v>
      </c>
      <c r="I248" s="51">
        <f t="shared" si="130"/>
        <v>1.9095042568375442E-4</v>
      </c>
      <c r="J248" s="76">
        <f t="shared" si="130"/>
        <v>0.1272921899471493</v>
      </c>
      <c r="K248" s="51">
        <f t="shared" si="130"/>
        <v>3.2722928006979251</v>
      </c>
      <c r="L248" s="51">
        <f t="shared" si="130"/>
        <v>41.196740509067446</v>
      </c>
      <c r="M248" s="51">
        <f t="shared" si="130"/>
        <v>25.195655765987773</v>
      </c>
    </row>
    <row r="250" spans="3:16">
      <c r="C250" s="72"/>
      <c r="D250" s="72"/>
      <c r="E250" s="29"/>
      <c r="F250" s="29"/>
      <c r="G250" s="29"/>
      <c r="H250" s="29"/>
      <c r="I250" s="29"/>
      <c r="J250" s="29"/>
      <c r="K250" s="29"/>
      <c r="L250" s="29"/>
      <c r="M250" s="29"/>
    </row>
    <row r="251" spans="3:16">
      <c r="E251" s="29"/>
      <c r="G251" s="29"/>
      <c r="I251" s="73"/>
      <c r="J251" s="74"/>
      <c r="K251" s="75"/>
      <c r="M251" s="29"/>
    </row>
    <row r="252" spans="3:16">
      <c r="E252" s="29"/>
      <c r="G252" s="29"/>
      <c r="I252" s="73"/>
      <c r="J252" s="74"/>
      <c r="K252" s="75"/>
      <c r="M252" s="29"/>
    </row>
    <row r="253" spans="3:16">
      <c r="E253" s="29"/>
      <c r="G253" s="29"/>
      <c r="I253" s="73"/>
      <c r="J253" s="74"/>
      <c r="K253" s="75"/>
      <c r="M253" s="29"/>
    </row>
    <row r="254" spans="3:16">
      <c r="E254" s="29"/>
      <c r="G254" s="29"/>
      <c r="I254" s="73"/>
      <c r="J254" s="74"/>
      <c r="K254" s="75"/>
      <c r="M254" s="29"/>
    </row>
    <row r="255" spans="3:16">
      <c r="E255" s="29"/>
      <c r="G255" s="29"/>
      <c r="I255" s="73"/>
      <c r="J255" s="74"/>
      <c r="K255" s="75"/>
      <c r="M255" s="29"/>
    </row>
    <row r="256" spans="3:16">
      <c r="E256" s="29"/>
      <c r="G256" s="29"/>
      <c r="I256" s="73"/>
      <c r="J256" s="74"/>
      <c r="K256" s="75"/>
      <c r="M256" s="29"/>
    </row>
    <row r="257" spans="5:13">
      <c r="E257" s="29"/>
      <c r="G257" s="29"/>
      <c r="I257" s="73"/>
      <c r="J257" s="74"/>
      <c r="K257" s="75"/>
      <c r="M257" s="29"/>
    </row>
    <row r="258" spans="5:13">
      <c r="E258" s="29"/>
      <c r="G258" s="29"/>
      <c r="I258" s="73"/>
      <c r="J258" s="74"/>
      <c r="K258" s="75"/>
      <c r="M258" s="29"/>
    </row>
    <row r="259" spans="5:13">
      <c r="E259" s="29"/>
      <c r="F259" s="29"/>
      <c r="G259" s="75"/>
      <c r="H259" s="75"/>
      <c r="I259" s="75"/>
      <c r="J259" s="75"/>
      <c r="K259" s="75"/>
      <c r="L259" s="75"/>
      <c r="M259" s="75"/>
    </row>
    <row r="260" spans="5:13">
      <c r="E260" s="29"/>
      <c r="F260" s="29"/>
      <c r="G260" s="75"/>
      <c r="H260" s="75"/>
      <c r="I260" s="75"/>
      <c r="J260" s="75"/>
      <c r="K260" s="75"/>
      <c r="L260" s="75"/>
      <c r="M260" s="75"/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36"/>
  <sheetViews>
    <sheetView workbookViewId="0">
      <selection activeCell="J35" sqref="J35"/>
    </sheetView>
  </sheetViews>
  <sheetFormatPr defaultRowHeight="14.25"/>
  <cols>
    <col min="2" max="4" width="8.75" customWidth="1"/>
  </cols>
  <sheetData>
    <row r="2" spans="2:5" ht="14.45" customHeight="1"/>
    <row r="3" spans="2:5">
      <c r="B3" t="s">
        <v>104</v>
      </c>
    </row>
    <row r="5" spans="2:5">
      <c r="B5" s="44" t="s">
        <v>105</v>
      </c>
      <c r="C5" s="54">
        <v>1</v>
      </c>
      <c r="D5" s="54">
        <v>176</v>
      </c>
      <c r="E5" s="55" t="s">
        <v>100</v>
      </c>
    </row>
    <row r="6" spans="2:5">
      <c r="B6" s="43"/>
      <c r="C6">
        <v>2</v>
      </c>
      <c r="D6">
        <v>104.8</v>
      </c>
      <c r="E6" s="56" t="s">
        <v>100</v>
      </c>
    </row>
    <row r="7" spans="2:5">
      <c r="B7" s="43"/>
      <c r="C7">
        <v>3</v>
      </c>
      <c r="D7">
        <v>161.4</v>
      </c>
      <c r="E7" s="56" t="s">
        <v>100</v>
      </c>
    </row>
    <row r="8" spans="2:5">
      <c r="B8" s="43"/>
      <c r="C8">
        <v>4</v>
      </c>
      <c r="D8">
        <v>199</v>
      </c>
      <c r="E8" s="56" t="s">
        <v>100</v>
      </c>
    </row>
    <row r="9" spans="2:5">
      <c r="B9" s="57"/>
      <c r="C9" s="58">
        <v>5</v>
      </c>
      <c r="D9" s="58">
        <v>187</v>
      </c>
      <c r="E9" s="59" t="s">
        <v>100</v>
      </c>
    </row>
    <row r="12" spans="2:5">
      <c r="B12" s="44" t="s">
        <v>106</v>
      </c>
      <c r="C12" s="54">
        <v>1</v>
      </c>
      <c r="D12" s="54">
        <v>142.69999999999999</v>
      </c>
      <c r="E12" s="55" t="s">
        <v>100</v>
      </c>
    </row>
    <row r="13" spans="2:5">
      <c r="B13" s="43"/>
      <c r="C13">
        <v>2</v>
      </c>
      <c r="D13">
        <v>93</v>
      </c>
      <c r="E13" s="56" t="s">
        <v>100</v>
      </c>
    </row>
    <row r="14" spans="2:5">
      <c r="B14" s="43"/>
      <c r="C14">
        <v>3</v>
      </c>
      <c r="D14">
        <v>137.5</v>
      </c>
      <c r="E14" s="56" t="s">
        <v>100</v>
      </c>
    </row>
    <row r="15" spans="2:5">
      <c r="B15" s="43"/>
      <c r="C15">
        <v>4</v>
      </c>
      <c r="D15">
        <v>156</v>
      </c>
      <c r="E15" s="56" t="s">
        <v>100</v>
      </c>
    </row>
    <row r="16" spans="2:5">
      <c r="B16" s="57"/>
      <c r="C16" s="58">
        <v>5</v>
      </c>
      <c r="D16" s="58">
        <v>191</v>
      </c>
      <c r="E16" s="59" t="s">
        <v>100</v>
      </c>
    </row>
    <row r="19" spans="2:5">
      <c r="B19" s="44" t="s">
        <v>107</v>
      </c>
      <c r="C19" s="54">
        <v>1</v>
      </c>
      <c r="D19" s="54">
        <v>30.8</v>
      </c>
      <c r="E19" s="55" t="s">
        <v>100</v>
      </c>
    </row>
    <row r="20" spans="2:5">
      <c r="B20" s="43"/>
      <c r="C20">
        <v>2</v>
      </c>
      <c r="D20">
        <v>28.7</v>
      </c>
      <c r="E20" s="56" t="s">
        <v>100</v>
      </c>
    </row>
    <row r="21" spans="2:5">
      <c r="B21" s="57"/>
      <c r="C21" s="58">
        <v>3</v>
      </c>
      <c r="D21" s="58">
        <v>18.2</v>
      </c>
      <c r="E21" s="59" t="s">
        <v>100</v>
      </c>
    </row>
    <row r="23" spans="2:5">
      <c r="B23" s="44" t="s">
        <v>108</v>
      </c>
      <c r="C23" s="54">
        <v>1</v>
      </c>
      <c r="D23" s="54">
        <v>31.9</v>
      </c>
      <c r="E23" s="55" t="s">
        <v>100</v>
      </c>
    </row>
    <row r="24" spans="2:5">
      <c r="B24" s="43"/>
      <c r="C24">
        <v>2</v>
      </c>
      <c r="D24">
        <v>59.8</v>
      </c>
      <c r="E24" s="56" t="s">
        <v>100</v>
      </c>
    </row>
    <row r="25" spans="2:5">
      <c r="B25" s="43"/>
      <c r="C25">
        <v>3</v>
      </c>
      <c r="D25">
        <v>132.19999999999999</v>
      </c>
      <c r="E25" s="56" t="s">
        <v>100</v>
      </c>
    </row>
    <row r="26" spans="2:5">
      <c r="B26" s="43"/>
      <c r="C26">
        <v>4</v>
      </c>
      <c r="D26">
        <v>48</v>
      </c>
      <c r="E26" s="56" t="s">
        <v>100</v>
      </c>
    </row>
    <row r="27" spans="2:5">
      <c r="B27" s="57"/>
      <c r="C27" s="58">
        <v>5</v>
      </c>
      <c r="D27" s="58">
        <v>60.1</v>
      </c>
      <c r="E27" s="59" t="s">
        <v>100</v>
      </c>
    </row>
    <row r="36" spans="1:2">
      <c r="A36" s="70"/>
      <c r="B36" s="70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O111"/>
  <sheetViews>
    <sheetView zoomScale="70" zoomScaleNormal="70" workbookViewId="0">
      <selection activeCell="R79" sqref="R79"/>
    </sheetView>
  </sheetViews>
  <sheetFormatPr defaultRowHeight="14.25"/>
  <cols>
    <col min="2" max="2" width="13.375" customWidth="1"/>
    <col min="3" max="3" width="14.625" customWidth="1"/>
    <col min="4" max="4" width="10.875" customWidth="1"/>
    <col min="5" max="5" width="14.375" customWidth="1"/>
    <col min="6" max="6" width="15.875" customWidth="1"/>
    <col min="7" max="7" width="18.625" customWidth="1"/>
    <col min="8" max="8" width="15.875" customWidth="1"/>
    <col min="9" max="9" width="22.25" customWidth="1"/>
    <col min="10" max="10" width="18.625" customWidth="1"/>
    <col min="11" max="11" width="19" customWidth="1"/>
    <col min="12" max="12" width="13.625" customWidth="1"/>
    <col min="13" max="13" width="15.25" customWidth="1"/>
    <col min="14" max="14" width="15.75" customWidth="1"/>
    <col min="15" max="15" width="18.125" customWidth="1"/>
  </cols>
  <sheetData>
    <row r="2" spans="2:14">
      <c r="B2" s="19"/>
      <c r="C2" s="29"/>
      <c r="D2" s="29"/>
      <c r="E2" s="29"/>
      <c r="F2" s="29"/>
      <c r="G2" s="29"/>
      <c r="H2" s="29"/>
      <c r="I2" s="29"/>
      <c r="J2" s="29"/>
      <c r="K2" s="29"/>
    </row>
    <row r="3" spans="2:14">
      <c r="B3" s="52" t="s">
        <v>109</v>
      </c>
      <c r="C3" s="33"/>
      <c r="D3" s="47" t="s">
        <v>71</v>
      </c>
      <c r="E3" s="47" t="s">
        <v>94</v>
      </c>
      <c r="F3" s="47" t="s">
        <v>72</v>
      </c>
      <c r="G3" s="47" t="s">
        <v>95</v>
      </c>
      <c r="H3" s="47" t="s">
        <v>73</v>
      </c>
      <c r="I3" s="47" t="s">
        <v>96</v>
      </c>
      <c r="J3" s="47" t="s">
        <v>97</v>
      </c>
      <c r="K3" s="47" t="s">
        <v>98</v>
      </c>
      <c r="N3" t="s">
        <v>99</v>
      </c>
    </row>
    <row r="4" spans="2:14">
      <c r="B4" s="19"/>
      <c r="C4" s="47">
        <v>1</v>
      </c>
      <c r="D4" s="2">
        <v>1.11E-2</v>
      </c>
      <c r="E4" s="81">
        <v>1.1100000000000001</v>
      </c>
      <c r="F4" s="81">
        <v>2.2200000000000002</v>
      </c>
      <c r="G4" s="32">
        <f>(4/3)*3.14159*((E4/10)^3)</f>
        <v>5.7287144977200026E-3</v>
      </c>
      <c r="H4" s="31">
        <f>D4/G4</f>
        <v>1.9376074692529608</v>
      </c>
      <c r="I4" s="30">
        <f>(1-(H4/3.89))*100</f>
        <v>50.190039350823632</v>
      </c>
      <c r="J4">
        <v>268.7</v>
      </c>
      <c r="K4" s="33">
        <f>2.8*(J4)/3.14*(E4^2)</f>
        <v>295.21743821656048</v>
      </c>
      <c r="M4">
        <v>1</v>
      </c>
      <c r="N4">
        <v>268.7</v>
      </c>
    </row>
    <row r="5" spans="2:14">
      <c r="B5" s="19"/>
      <c r="C5" s="47">
        <v>2</v>
      </c>
      <c r="D5" s="2">
        <v>1.1900000000000001E-2</v>
      </c>
      <c r="E5" s="81">
        <v>1.1200000000000001</v>
      </c>
      <c r="F5" s="81">
        <v>2.23</v>
      </c>
      <c r="G5" s="32">
        <f t="shared" ref="G5:G10" si="0">(4/3)*3.14159*((E5/10)^3)</f>
        <v>5.8849436740266688E-3</v>
      </c>
      <c r="H5" s="31">
        <f t="shared" ref="H5:H11" si="1">D5/G5</f>
        <v>2.0221094133017652</v>
      </c>
      <c r="I5" s="30"/>
      <c r="J5">
        <v>245</v>
      </c>
      <c r="K5" s="33">
        <f t="shared" ref="K5:K11" si="2">2.8*(J5)/3.14*(E5^2)</f>
        <v>274.05044585987264</v>
      </c>
      <c r="M5">
        <v>2</v>
      </c>
      <c r="N5">
        <v>245</v>
      </c>
    </row>
    <row r="6" spans="2:14">
      <c r="B6" s="19"/>
      <c r="C6" s="47">
        <v>3</v>
      </c>
      <c r="D6" s="2">
        <v>8.3999999999999995E-3</v>
      </c>
      <c r="E6" s="81">
        <v>1.1299999999999999</v>
      </c>
      <c r="F6" s="81">
        <v>2.2599999999999998</v>
      </c>
      <c r="G6" s="32">
        <f t="shared" si="0"/>
        <v>6.0439877149733312E-3</v>
      </c>
      <c r="H6" s="31">
        <f t="shared" si="1"/>
        <v>1.3898108990509528</v>
      </c>
      <c r="I6" s="30">
        <f t="shared" ref="I6:I10" si="3">(1-(H6/3.89))*100</f>
        <v>64.27221339200635</v>
      </c>
      <c r="J6">
        <v>305</v>
      </c>
      <c r="K6" s="33">
        <f t="shared" si="2"/>
        <v>347.28426751592349</v>
      </c>
      <c r="M6">
        <v>3</v>
      </c>
      <c r="N6">
        <v>305</v>
      </c>
    </row>
    <row r="7" spans="2:14">
      <c r="B7" s="19"/>
      <c r="C7" s="47">
        <v>4</v>
      </c>
      <c r="D7" s="2">
        <v>1.1299999999999999E-2</v>
      </c>
      <c r="E7" s="81">
        <v>1.19</v>
      </c>
      <c r="F7" s="81">
        <v>2.39</v>
      </c>
      <c r="G7" s="32">
        <f t="shared" si="0"/>
        <v>7.0587715504133314E-3</v>
      </c>
      <c r="H7" s="31">
        <f t="shared" si="1"/>
        <v>1.6008451214628585</v>
      </c>
      <c r="I7" s="30">
        <f t="shared" si="3"/>
        <v>58.847169114065338</v>
      </c>
      <c r="J7">
        <v>188</v>
      </c>
      <c r="K7" s="33"/>
      <c r="M7">
        <v>4</v>
      </c>
      <c r="N7">
        <v>188</v>
      </c>
    </row>
    <row r="8" spans="2:14">
      <c r="B8" s="19"/>
      <c r="C8" s="47">
        <v>5</v>
      </c>
      <c r="D8" s="2">
        <v>8.6999999999999994E-3</v>
      </c>
      <c r="E8" s="81">
        <v>1.1399999999999999</v>
      </c>
      <c r="F8" s="81">
        <v>2.27</v>
      </c>
      <c r="G8" s="32">
        <f t="shared" si="0"/>
        <v>6.2058717532799974E-3</v>
      </c>
      <c r="H8" s="31">
        <f t="shared" si="1"/>
        <v>1.4018981290423504</v>
      </c>
      <c r="I8" s="30">
        <f t="shared" si="3"/>
        <v>63.96148768528662</v>
      </c>
      <c r="J8">
        <v>206.7</v>
      </c>
      <c r="K8" s="33"/>
      <c r="M8">
        <v>5</v>
      </c>
      <c r="N8">
        <v>206.7</v>
      </c>
    </row>
    <row r="9" spans="2:14">
      <c r="B9" s="19"/>
      <c r="C9" s="47">
        <v>6</v>
      </c>
      <c r="D9" s="2">
        <v>9.7999999999999997E-3</v>
      </c>
      <c r="E9" s="81">
        <v>1.1200000000000001</v>
      </c>
      <c r="F9" s="81">
        <v>2.2400000000000002</v>
      </c>
      <c r="G9" s="32">
        <f t="shared" si="0"/>
        <v>5.8849436740266688E-3</v>
      </c>
      <c r="H9" s="31">
        <f t="shared" si="1"/>
        <v>1.6652665756602769</v>
      </c>
      <c r="I9" s="30">
        <f t="shared" si="3"/>
        <v>57.191090599992876</v>
      </c>
      <c r="J9">
        <v>279.3</v>
      </c>
      <c r="K9" s="33">
        <f t="shared" si="2"/>
        <v>312.41750828025482</v>
      </c>
      <c r="M9">
        <v>6</v>
      </c>
      <c r="N9">
        <v>279.3</v>
      </c>
    </row>
    <row r="10" spans="2:14">
      <c r="B10" s="19"/>
      <c r="C10" s="47">
        <v>7</v>
      </c>
      <c r="D10" s="2">
        <v>8.5000000000000006E-3</v>
      </c>
      <c r="E10" s="81">
        <v>1.18</v>
      </c>
      <c r="F10" s="81">
        <v>2.37</v>
      </c>
      <c r="G10" s="32">
        <f t="shared" si="0"/>
        <v>6.8823105345066646E-3</v>
      </c>
      <c r="H10" s="31">
        <f t="shared" si="1"/>
        <v>1.2350503449942476</v>
      </c>
      <c r="I10" s="30">
        <f t="shared" si="3"/>
        <v>68.250633804775134</v>
      </c>
      <c r="J10">
        <v>305.7</v>
      </c>
      <c r="K10" s="33">
        <f t="shared" si="2"/>
        <v>379.56646624203813</v>
      </c>
      <c r="M10">
        <v>7</v>
      </c>
      <c r="N10">
        <v>305.7</v>
      </c>
    </row>
    <row r="11" spans="2:14" ht="15" thickBot="1">
      <c r="B11" s="19"/>
      <c r="C11" s="47">
        <v>8</v>
      </c>
      <c r="D11" s="13">
        <v>1.18E-2</v>
      </c>
      <c r="E11" s="81">
        <v>1.18</v>
      </c>
      <c r="F11" s="81">
        <v>2.36</v>
      </c>
      <c r="G11" s="32">
        <f>(4/3)*3.14159*((E11/10)^3)</f>
        <v>6.8823105345066646E-3</v>
      </c>
      <c r="H11" s="31">
        <f t="shared" si="1"/>
        <v>1.7145404789331906</v>
      </c>
      <c r="I11" s="30">
        <f>(1-(H11/3.89))*100</f>
        <v>55.924409281923126</v>
      </c>
      <c r="J11">
        <v>204</v>
      </c>
      <c r="K11" s="33">
        <f t="shared" si="2"/>
        <v>253.2926369426751</v>
      </c>
      <c r="M11">
        <v>8</v>
      </c>
      <c r="N11">
        <v>204</v>
      </c>
    </row>
    <row r="12" spans="2:14">
      <c r="B12" s="19"/>
      <c r="C12" s="39" t="s">
        <v>102</v>
      </c>
      <c r="D12" s="80">
        <f>AVERAGE(D4:D11)</f>
        <v>1.0187499999999999E-2</v>
      </c>
      <c r="E12" s="76">
        <f>AVERAGE(E4:E11)</f>
        <v>1.14625</v>
      </c>
      <c r="F12" s="76">
        <f t="shared" ref="F12:K12" si="4">AVERAGE(F4:F11)</f>
        <v>2.2925</v>
      </c>
      <c r="G12" s="80">
        <f t="shared" si="4"/>
        <v>6.3214817416816661E-3</v>
      </c>
      <c r="H12" s="51">
        <f t="shared" si="4"/>
        <v>1.6208910539623256</v>
      </c>
      <c r="I12" s="51">
        <f t="shared" si="4"/>
        <v>59.805291889839012</v>
      </c>
      <c r="J12" s="51">
        <f t="shared" si="4"/>
        <v>250.3</v>
      </c>
      <c r="K12" s="51">
        <f t="shared" si="4"/>
        <v>310.30479384288742</v>
      </c>
    </row>
    <row r="13" spans="2:14" ht="15" thickBot="1">
      <c r="B13" s="19"/>
      <c r="C13" s="40" t="s">
        <v>76</v>
      </c>
      <c r="D13" s="80">
        <f>STDEV(D4:D11)</f>
        <v>1.5122712341753663E-3</v>
      </c>
      <c r="E13" s="76">
        <f>STDEV(E4:E11)</f>
        <v>3.2043497223082723E-2</v>
      </c>
      <c r="F13" s="76">
        <f t="shared" ref="F13:J13" si="5">STDEV(F4:F11)</f>
        <v>6.9230463979791018E-2</v>
      </c>
      <c r="G13" s="80">
        <f t="shared" si="5"/>
        <v>5.339243807610547E-4</v>
      </c>
      <c r="H13" s="51">
        <f t="shared" si="5"/>
        <v>0.27324915176303988</v>
      </c>
      <c r="I13" s="51">
        <f t="shared" si="5"/>
        <v>6.1076117822974716</v>
      </c>
      <c r="J13" s="51">
        <f t="shared" si="5"/>
        <v>46.590679631997467</v>
      </c>
      <c r="K13" s="51">
        <f>STDEV(K4:K11)</f>
        <v>46.822038359813355</v>
      </c>
    </row>
    <row r="15" spans="2:14">
      <c r="B15" s="52" t="s">
        <v>110</v>
      </c>
      <c r="C15" s="33"/>
      <c r="D15" s="47" t="s">
        <v>71</v>
      </c>
      <c r="E15" s="47" t="s">
        <v>94</v>
      </c>
      <c r="F15" s="47" t="s">
        <v>72</v>
      </c>
      <c r="G15" s="47" t="s">
        <v>95</v>
      </c>
      <c r="H15" s="47" t="s">
        <v>73</v>
      </c>
      <c r="I15" s="47" t="s">
        <v>96</v>
      </c>
      <c r="J15" s="47" t="s">
        <v>97</v>
      </c>
      <c r="K15" s="47" t="s">
        <v>98</v>
      </c>
      <c r="N15" t="s">
        <v>99</v>
      </c>
    </row>
    <row r="16" spans="2:14">
      <c r="B16" s="19"/>
      <c r="C16" s="47">
        <v>1</v>
      </c>
      <c r="D16" s="2">
        <v>1.11E-2</v>
      </c>
      <c r="E16" s="81">
        <v>1.1599999999999999</v>
      </c>
      <c r="F16" s="81">
        <v>2.31</v>
      </c>
      <c r="G16" s="32">
        <f>(4/3)*3.14159*((E16/10)^3)</f>
        <v>6.5382603528533305E-3</v>
      </c>
      <c r="H16" s="31">
        <f>D16/G16</f>
        <v>1.6976992962900144</v>
      </c>
      <c r="I16" s="30">
        <f>(1-(H16/3.89))*100</f>
        <v>56.3573445683801</v>
      </c>
      <c r="J16">
        <v>302.3</v>
      </c>
      <c r="K16" s="33">
        <f>2.8*(J16)/3.14*(E16^2)</f>
        <v>362.72919235668786</v>
      </c>
      <c r="M16">
        <v>1</v>
      </c>
      <c r="N16">
        <v>302.3</v>
      </c>
    </row>
    <row r="17" spans="2:14">
      <c r="B17" s="19"/>
      <c r="C17" s="47">
        <v>2</v>
      </c>
      <c r="D17" s="2">
        <v>1.0800000000000001E-2</v>
      </c>
      <c r="E17" s="81">
        <v>1.18</v>
      </c>
      <c r="F17" s="81">
        <v>2.37</v>
      </c>
      <c r="G17" s="32">
        <f t="shared" ref="G17:G22" si="6">(4/3)*3.14159*((E17/10)^3)</f>
        <v>6.8823105345066646E-3</v>
      </c>
      <c r="H17" s="31">
        <f t="shared" ref="H17:H23" si="7">D17/G17</f>
        <v>1.5692404383456322</v>
      </c>
      <c r="I17" s="30">
        <f t="shared" ref="I17:I22" si="8">(1-(H17/3.89))*100</f>
        <v>59.659628834302517</v>
      </c>
      <c r="J17">
        <v>240.7</v>
      </c>
      <c r="K17" s="33">
        <f t="shared" ref="K17:K23" si="9">2.8*(J17)/3.14*(E17^2)</f>
        <v>298.86047898089163</v>
      </c>
      <c r="M17">
        <v>2</v>
      </c>
      <c r="N17">
        <v>240.7</v>
      </c>
    </row>
    <row r="18" spans="2:14">
      <c r="B18" s="19"/>
      <c r="C18" s="47">
        <v>3</v>
      </c>
      <c r="D18" s="2">
        <v>1.12E-2</v>
      </c>
      <c r="E18" s="81">
        <v>1.1200000000000001</v>
      </c>
      <c r="F18" s="81">
        <v>2.2400000000000002</v>
      </c>
      <c r="G18" s="32">
        <f t="shared" si="6"/>
        <v>5.8849436740266688E-3</v>
      </c>
      <c r="H18" s="31">
        <f t="shared" si="7"/>
        <v>1.9031618007546023</v>
      </c>
      <c r="I18" s="30">
        <f t="shared" si="8"/>
        <v>51.075532114277578</v>
      </c>
      <c r="J18">
        <v>279.3</v>
      </c>
      <c r="K18" s="33">
        <f t="shared" si="9"/>
        <v>312.41750828025482</v>
      </c>
      <c r="M18">
        <v>3</v>
      </c>
      <c r="N18">
        <v>279.3</v>
      </c>
    </row>
    <row r="19" spans="2:14">
      <c r="B19" s="19"/>
      <c r="C19" s="47">
        <v>4</v>
      </c>
      <c r="D19" s="2">
        <v>1.09E-2</v>
      </c>
      <c r="E19" s="81">
        <v>1.1599999999999999</v>
      </c>
      <c r="F19" s="81">
        <v>2.31</v>
      </c>
      <c r="G19" s="32">
        <f t="shared" si="6"/>
        <v>6.5382603528533305E-3</v>
      </c>
      <c r="H19" s="31">
        <f t="shared" si="7"/>
        <v>1.6671101197802844</v>
      </c>
      <c r="I19" s="30">
        <f t="shared" si="8"/>
        <v>57.143698720301174</v>
      </c>
      <c r="J19">
        <v>282</v>
      </c>
      <c r="K19" s="33">
        <f t="shared" si="9"/>
        <v>338.37126114649675</v>
      </c>
      <c r="M19">
        <v>4</v>
      </c>
      <c r="N19">
        <v>282</v>
      </c>
    </row>
    <row r="20" spans="2:14">
      <c r="B20" s="19"/>
      <c r="C20" s="47">
        <v>5</v>
      </c>
      <c r="D20" s="2">
        <v>1.0800000000000001E-2</v>
      </c>
      <c r="E20" s="81">
        <v>1</v>
      </c>
      <c r="F20" s="81">
        <v>2.0099999999999998</v>
      </c>
      <c r="G20" s="32">
        <f t="shared" si="6"/>
        <v>4.1887866666666671E-3</v>
      </c>
      <c r="H20" s="31">
        <f t="shared" si="7"/>
        <v>2.5783122558958995</v>
      </c>
      <c r="I20" s="30"/>
      <c r="J20">
        <v>216.3</v>
      </c>
      <c r="K20" s="33"/>
      <c r="M20">
        <v>5</v>
      </c>
      <c r="N20">
        <v>216.3</v>
      </c>
    </row>
    <row r="21" spans="2:14">
      <c r="B21" s="19"/>
      <c r="C21" s="47">
        <v>6</v>
      </c>
      <c r="D21" s="2">
        <v>1.03E-2</v>
      </c>
      <c r="E21" s="81">
        <v>1.08</v>
      </c>
      <c r="F21" s="81">
        <v>2.16</v>
      </c>
      <c r="G21" s="32">
        <f t="shared" si="6"/>
        <v>5.2766648294400014E-3</v>
      </c>
      <c r="H21" s="31">
        <f t="shared" si="7"/>
        <v>1.9519905722518882</v>
      </c>
      <c r="I21" s="30">
        <f t="shared" si="8"/>
        <v>49.820293772445034</v>
      </c>
      <c r="J21">
        <v>222.3</v>
      </c>
      <c r="K21" s="33"/>
      <c r="M21">
        <v>6</v>
      </c>
      <c r="N21">
        <v>222.3</v>
      </c>
    </row>
    <row r="22" spans="2:14">
      <c r="B22" s="19"/>
      <c r="C22" s="47">
        <v>7</v>
      </c>
      <c r="D22" s="2">
        <v>1.0800000000000001E-2</v>
      </c>
      <c r="E22" s="81">
        <v>1.04</v>
      </c>
      <c r="F22" s="81">
        <v>2.08</v>
      </c>
      <c r="G22" s="32">
        <f t="shared" si="6"/>
        <v>4.7118153250133342E-3</v>
      </c>
      <c r="H22" s="31">
        <f t="shared" si="7"/>
        <v>2.2921102070080468</v>
      </c>
      <c r="I22" s="30">
        <f t="shared" si="8"/>
        <v>41.076858431669748</v>
      </c>
      <c r="J22">
        <v>302</v>
      </c>
      <c r="K22" s="33">
        <f t="shared" si="9"/>
        <v>291.27419108280253</v>
      </c>
      <c r="M22">
        <v>7</v>
      </c>
      <c r="N22">
        <v>302</v>
      </c>
    </row>
    <row r="23" spans="2:14" ht="15" thickBot="1">
      <c r="B23" s="19"/>
      <c r="C23" s="47">
        <v>8</v>
      </c>
      <c r="D23" s="13">
        <v>1.0999999999999999E-2</v>
      </c>
      <c r="E23" s="81">
        <v>1.1299999999999999</v>
      </c>
      <c r="F23" s="81">
        <v>2.25</v>
      </c>
      <c r="G23" s="32">
        <f>(4/3)*3.14159*((E23/10)^3)</f>
        <v>6.0439877149733312E-3</v>
      </c>
      <c r="H23" s="31">
        <f t="shared" si="7"/>
        <v>1.8199904630429145</v>
      </c>
      <c r="I23" s="30">
        <f>(1-(H23/3.89))*100</f>
        <v>53.213612775246411</v>
      </c>
      <c r="J23">
        <v>221</v>
      </c>
      <c r="K23" s="33">
        <f t="shared" si="9"/>
        <v>251.63876433121013</v>
      </c>
      <c r="M23">
        <v>8</v>
      </c>
      <c r="N23">
        <v>221</v>
      </c>
    </row>
    <row r="24" spans="2:14">
      <c r="B24" s="19"/>
      <c r="C24" s="39" t="s">
        <v>102</v>
      </c>
      <c r="D24" s="80">
        <f>AVERAGE(D16:D23)</f>
        <v>1.0862500000000001E-2</v>
      </c>
      <c r="E24" s="76">
        <f>AVERAGE(E16:E23)</f>
        <v>1.1087500000000001</v>
      </c>
      <c r="F24" s="76">
        <f t="shared" ref="F24:K24" si="10">AVERAGE(F16:F23)</f>
        <v>2.2162500000000001</v>
      </c>
      <c r="G24" s="80">
        <f t="shared" si="10"/>
        <v>5.7581286812916658E-3</v>
      </c>
      <c r="H24" s="51">
        <f t="shared" si="10"/>
        <v>1.9349518941711605</v>
      </c>
      <c r="I24" s="51">
        <f t="shared" si="10"/>
        <v>52.620995602374656</v>
      </c>
      <c r="J24" s="51">
        <f t="shared" si="10"/>
        <v>258.23749999999995</v>
      </c>
      <c r="K24" s="51">
        <f t="shared" si="10"/>
        <v>309.21523269639061</v>
      </c>
    </row>
    <row r="25" spans="2:14" ht="15" thickBot="1">
      <c r="B25" s="19"/>
      <c r="C25" s="40" t="s">
        <v>76</v>
      </c>
      <c r="D25" s="80">
        <f>STDEV(D16:D23)</f>
        <v>2.7222627143085E-4</v>
      </c>
      <c r="E25" s="76">
        <f>STDEV(E16:E23)</f>
        <v>6.3569422119218788E-2</v>
      </c>
      <c r="F25" s="76">
        <f t="shared" ref="F25:J25" si="11">STDEV(F16:F23)</f>
        <v>0.12374368670764589</v>
      </c>
      <c r="G25" s="80">
        <f t="shared" si="11"/>
        <v>9.5380490350104128E-4</v>
      </c>
      <c r="H25" s="51">
        <f t="shared" si="11"/>
        <v>0.34179453998325005</v>
      </c>
      <c r="I25" s="51">
        <f t="shared" si="11"/>
        <v>6.1618204983742446</v>
      </c>
      <c r="J25" s="51">
        <f t="shared" si="11"/>
        <v>37.050927788653603</v>
      </c>
      <c r="K25" s="51">
        <f>STDEV(K16:K23)</f>
        <v>38.647701226639619</v>
      </c>
    </row>
    <row r="27" spans="2:14">
      <c r="B27" s="52" t="s">
        <v>111</v>
      </c>
      <c r="C27" s="33"/>
      <c r="D27" s="47" t="s">
        <v>71</v>
      </c>
      <c r="E27" s="47" t="s">
        <v>94</v>
      </c>
      <c r="F27" s="47" t="s">
        <v>72</v>
      </c>
      <c r="G27" s="47" t="s">
        <v>95</v>
      </c>
      <c r="H27" s="47" t="s">
        <v>73</v>
      </c>
      <c r="I27" s="47" t="s">
        <v>96</v>
      </c>
      <c r="J27" s="47" t="s">
        <v>97</v>
      </c>
      <c r="K27" s="47" t="s">
        <v>98</v>
      </c>
      <c r="N27" t="s">
        <v>99</v>
      </c>
    </row>
    <row r="28" spans="2:14">
      <c r="B28" s="19"/>
      <c r="C28" s="47">
        <v>1</v>
      </c>
      <c r="D28" s="2">
        <v>5.1000000000000004E-3</v>
      </c>
      <c r="E28" s="81">
        <v>0.91</v>
      </c>
      <c r="F28" s="81">
        <v>1.82</v>
      </c>
      <c r="G28" s="32">
        <f>(4/3)*3.14159*((E28/10)^3)</f>
        <v>3.1565481571866664E-3</v>
      </c>
      <c r="H28" s="31">
        <f>D28/G28</f>
        <v>1.6156889570617141</v>
      </c>
      <c r="I28" s="30">
        <f>(1-(H28/3.89))*100</f>
        <v>58.465579509981637</v>
      </c>
      <c r="J28">
        <v>186</v>
      </c>
      <c r="K28" s="33">
        <f>2.8*(J28)/3.14*(E28^2)</f>
        <v>137.34856050955412</v>
      </c>
      <c r="M28">
        <v>1</v>
      </c>
      <c r="N28">
        <v>186</v>
      </c>
    </row>
    <row r="29" spans="2:14">
      <c r="B29" s="19"/>
      <c r="C29" s="47">
        <v>2</v>
      </c>
      <c r="D29" s="2">
        <v>5.5999999999999999E-3</v>
      </c>
      <c r="E29" s="81">
        <v>0.96</v>
      </c>
      <c r="F29" s="81">
        <v>1.91</v>
      </c>
      <c r="G29" s="32">
        <f t="shared" ref="G29:G34" si="12">(4/3)*3.14159*((E29/10)^3)</f>
        <v>3.7059703603199998E-3</v>
      </c>
      <c r="H29" s="31">
        <f t="shared" ref="H29:H35" si="13">D29/G29</f>
        <v>1.5110752260621039</v>
      </c>
      <c r="I29" s="30">
        <f t="shared" ref="I29:I34" si="14">(1-(H29/3.89))*100</f>
        <v>61.154878507400937</v>
      </c>
      <c r="J29">
        <v>256.3</v>
      </c>
      <c r="K29" s="33"/>
      <c r="M29">
        <v>2</v>
      </c>
      <c r="N29">
        <v>256.3</v>
      </c>
    </row>
    <row r="30" spans="2:14">
      <c r="B30" s="19"/>
      <c r="C30" s="47">
        <v>3</v>
      </c>
      <c r="D30" s="2">
        <v>5.3E-3</v>
      </c>
      <c r="E30" s="81">
        <v>0.94</v>
      </c>
      <c r="F30" s="81">
        <v>1.89</v>
      </c>
      <c r="G30" s="32">
        <f t="shared" si="12"/>
        <v>3.4791391847466663E-3</v>
      </c>
      <c r="H30" s="31">
        <f t="shared" si="13"/>
        <v>1.5233653264682252</v>
      </c>
      <c r="I30" s="30">
        <f t="shared" si="14"/>
        <v>60.838937622924803</v>
      </c>
      <c r="J30">
        <v>187.3</v>
      </c>
      <c r="K30" s="33">
        <f t="shared" ref="K30:K35" si="15">2.8*(J30)/3.14*(E30^2)</f>
        <v>147.57808407643313</v>
      </c>
      <c r="M30">
        <v>3</v>
      </c>
      <c r="N30">
        <v>187.3</v>
      </c>
    </row>
    <row r="31" spans="2:14">
      <c r="B31" s="19"/>
      <c r="C31" s="47">
        <v>4</v>
      </c>
      <c r="D31" s="2">
        <v>5.4000000000000003E-3</v>
      </c>
      <c r="E31" s="81">
        <v>0.91</v>
      </c>
      <c r="F31" s="81">
        <v>1.81</v>
      </c>
      <c r="G31" s="32">
        <f t="shared" si="12"/>
        <v>3.1565481571866664E-3</v>
      </c>
      <c r="H31" s="31">
        <f t="shared" si="13"/>
        <v>1.7107294839476972</v>
      </c>
      <c r="I31" s="30">
        <f t="shared" si="14"/>
        <v>56.022378304686448</v>
      </c>
      <c r="J31">
        <v>155</v>
      </c>
      <c r="K31" s="33">
        <f t="shared" si="15"/>
        <v>114.4571337579618</v>
      </c>
      <c r="M31">
        <v>4</v>
      </c>
      <c r="N31">
        <v>155</v>
      </c>
    </row>
    <row r="32" spans="2:14">
      <c r="B32" s="19"/>
      <c r="C32" s="47">
        <v>5</v>
      </c>
      <c r="D32" s="2">
        <v>5.1999999999999998E-3</v>
      </c>
      <c r="E32" s="81">
        <v>0.9</v>
      </c>
      <c r="F32" s="81">
        <v>1.79</v>
      </c>
      <c r="G32" s="32">
        <f t="shared" si="12"/>
        <v>3.0536254799999993E-3</v>
      </c>
      <c r="H32" s="31">
        <f t="shared" si="13"/>
        <v>1.7028938335948129</v>
      </c>
      <c r="I32" s="30">
        <f t="shared" si="14"/>
        <v>56.223808905017655</v>
      </c>
      <c r="J32">
        <v>155.30000000000001</v>
      </c>
      <c r="K32" s="33">
        <f t="shared" si="15"/>
        <v>112.17210191082805</v>
      </c>
      <c r="M32">
        <v>5</v>
      </c>
      <c r="N32">
        <v>155.30000000000001</v>
      </c>
    </row>
    <row r="33" spans="2:14">
      <c r="B33" s="19"/>
      <c r="C33" s="47">
        <v>6</v>
      </c>
      <c r="D33" s="2">
        <v>5.1999999999999998E-3</v>
      </c>
      <c r="E33" s="81">
        <v>0.91</v>
      </c>
      <c r="F33" s="81">
        <v>1.82</v>
      </c>
      <c r="G33" s="32">
        <f t="shared" si="12"/>
        <v>3.1565481571866664E-3</v>
      </c>
      <c r="H33" s="31">
        <f t="shared" si="13"/>
        <v>1.647369132690375</v>
      </c>
      <c r="I33" s="30">
        <f t="shared" si="14"/>
        <v>57.651179108216574</v>
      </c>
      <c r="J33">
        <v>140.69999999999999</v>
      </c>
      <c r="K33" s="33">
        <f t="shared" si="15"/>
        <v>103.89754012738851</v>
      </c>
      <c r="M33">
        <v>6</v>
      </c>
      <c r="N33">
        <v>140.69999999999999</v>
      </c>
    </row>
    <row r="34" spans="2:14">
      <c r="B34" s="19"/>
      <c r="C34" s="47">
        <v>7</v>
      </c>
      <c r="D34" s="2">
        <v>5.4000000000000003E-3</v>
      </c>
      <c r="E34" s="81">
        <v>0.91</v>
      </c>
      <c r="F34" s="81">
        <v>1.82</v>
      </c>
      <c r="G34" s="32">
        <f t="shared" si="12"/>
        <v>3.1565481571866664E-3</v>
      </c>
      <c r="H34" s="31">
        <f t="shared" si="13"/>
        <v>1.7107294839476972</v>
      </c>
      <c r="I34" s="30">
        <f t="shared" si="14"/>
        <v>56.022378304686448</v>
      </c>
      <c r="J34">
        <v>142.30000000000001</v>
      </c>
      <c r="K34" s="33">
        <f t="shared" si="15"/>
        <v>105.07903312101911</v>
      </c>
      <c r="M34">
        <v>7</v>
      </c>
      <c r="N34">
        <v>142.30000000000001</v>
      </c>
    </row>
    <row r="35" spans="2:14" ht="15" thickBot="1">
      <c r="B35" s="19"/>
      <c r="C35" s="47">
        <v>8</v>
      </c>
      <c r="D35" s="13">
        <v>5.4000000000000003E-3</v>
      </c>
      <c r="E35" s="81">
        <v>0.9</v>
      </c>
      <c r="F35" s="81">
        <v>1.8</v>
      </c>
      <c r="G35" s="32">
        <f>(4/3)*3.14159*((E35/10)^3)</f>
        <v>3.0536254799999993E-3</v>
      </c>
      <c r="H35" s="31">
        <f t="shared" si="13"/>
        <v>1.7683897502715367</v>
      </c>
      <c r="I35" s="30">
        <f>(1-(H35/3.89))*100</f>
        <v>54.54010924751833</v>
      </c>
      <c r="J35">
        <v>197</v>
      </c>
      <c r="K35" s="33">
        <f t="shared" si="15"/>
        <v>142.29171974522291</v>
      </c>
      <c r="M35">
        <v>8</v>
      </c>
      <c r="N35">
        <v>197</v>
      </c>
    </row>
    <row r="36" spans="2:14">
      <c r="B36" s="19"/>
      <c r="C36" s="39" t="s">
        <v>102</v>
      </c>
      <c r="D36" s="80">
        <f>AVERAGE(D28:D35)</f>
        <v>5.3250000000000007E-3</v>
      </c>
      <c r="E36" s="76">
        <f>AVERAGE(E28:E35)</f>
        <v>0.91750000000000009</v>
      </c>
      <c r="F36" s="76">
        <f t="shared" ref="F36:K36" si="16">AVERAGE(F28:F35)</f>
        <v>1.8325</v>
      </c>
      <c r="G36" s="80">
        <f t="shared" si="16"/>
        <v>3.2398191417266661E-3</v>
      </c>
      <c r="H36" s="51">
        <f t="shared" si="16"/>
        <v>1.6487801492555201</v>
      </c>
      <c r="I36" s="51">
        <f t="shared" si="16"/>
        <v>57.614906188804106</v>
      </c>
      <c r="J36" s="51">
        <f t="shared" si="16"/>
        <v>177.48750000000001</v>
      </c>
      <c r="K36" s="51">
        <f t="shared" si="16"/>
        <v>123.26059617834396</v>
      </c>
    </row>
    <row r="37" spans="2:14" ht="15" thickBot="1">
      <c r="B37" s="19"/>
      <c r="C37" s="40" t="s">
        <v>76</v>
      </c>
      <c r="D37" s="80">
        <f>STDEV(D28:D35)</f>
        <v>1.58113883008419E-4</v>
      </c>
      <c r="E37" s="76">
        <f>STDEV(E28:E35)</f>
        <v>2.1213203435596392E-2</v>
      </c>
      <c r="F37" s="76">
        <f t="shared" ref="F37:J37" si="17">STDEV(F28:F35)</f>
        <v>4.3342489875080124E-2</v>
      </c>
      <c r="G37" s="80">
        <f t="shared" si="17"/>
        <v>2.304168360622477E-4</v>
      </c>
      <c r="H37" s="51">
        <f t="shared" si="17"/>
        <v>9.311953089644498E-2</v>
      </c>
      <c r="I37" s="51">
        <f t="shared" si="17"/>
        <v>2.3938182749728822</v>
      </c>
      <c r="J37" s="51">
        <f t="shared" si="17"/>
        <v>38.45284449816414</v>
      </c>
      <c r="K37" s="51">
        <f>STDEV(K28:K35)</f>
        <v>18.520022729632778</v>
      </c>
    </row>
    <row r="39" spans="2:14">
      <c r="B39" s="52" t="s">
        <v>112</v>
      </c>
      <c r="C39" s="33"/>
      <c r="D39" s="47" t="s">
        <v>71</v>
      </c>
      <c r="E39" s="47" t="s">
        <v>94</v>
      </c>
      <c r="F39" s="47" t="s">
        <v>72</v>
      </c>
      <c r="G39" s="47" t="s">
        <v>95</v>
      </c>
      <c r="H39" s="47" t="s">
        <v>73</v>
      </c>
      <c r="I39" s="47" t="s">
        <v>96</v>
      </c>
      <c r="J39" s="47" t="s">
        <v>97</v>
      </c>
      <c r="K39" s="47" t="s">
        <v>98</v>
      </c>
      <c r="N39" t="s">
        <v>99</v>
      </c>
    </row>
    <row r="40" spans="2:14">
      <c r="B40" s="19"/>
      <c r="C40" s="47">
        <v>1</v>
      </c>
      <c r="D40" s="2">
        <v>5.4999999999999997E-3</v>
      </c>
      <c r="E40" s="81">
        <v>0.93</v>
      </c>
      <c r="F40" s="81">
        <v>1.87</v>
      </c>
      <c r="G40" s="32">
        <f>(4/3)*3.14159*((E40/10)^3)</f>
        <v>3.3692798768399997E-3</v>
      </c>
      <c r="H40" s="31">
        <f>D40/G40</f>
        <v>1.6323962986293594</v>
      </c>
      <c r="I40" s="30">
        <f>(1-(H40/3.89))*100</f>
        <v>58.036084868139866</v>
      </c>
      <c r="J40">
        <v>205</v>
      </c>
      <c r="K40" s="33">
        <f>2.8*(J40)/3.14*(E40^2)</f>
        <v>158.105923566879</v>
      </c>
      <c r="M40">
        <v>1</v>
      </c>
      <c r="N40">
        <v>205</v>
      </c>
    </row>
    <row r="41" spans="2:14">
      <c r="B41" s="19"/>
      <c r="C41" s="47">
        <v>2</v>
      </c>
      <c r="D41" s="2">
        <v>5.4000000000000003E-3</v>
      </c>
      <c r="E41" s="81">
        <v>0.93</v>
      </c>
      <c r="F41" s="81">
        <v>1.86</v>
      </c>
      <c r="G41" s="32">
        <f t="shared" ref="G41:G46" si="18">(4/3)*3.14159*((E41/10)^3)</f>
        <v>3.3692798768399997E-3</v>
      </c>
      <c r="H41" s="31">
        <f t="shared" ref="H41:H47" si="19">D41/G41</f>
        <v>1.6027163659270076</v>
      </c>
      <c r="I41" s="30">
        <f t="shared" ref="I41:I46" si="20">(1-(H41/3.89))*100</f>
        <v>58.799065143264585</v>
      </c>
      <c r="J41">
        <v>136.30000000000001</v>
      </c>
      <c r="K41" s="33">
        <f t="shared" ref="K41:K46" si="21">2.8*(J41)/3.14*(E41^2)</f>
        <v>105.12115796178344</v>
      </c>
      <c r="M41">
        <v>2</v>
      </c>
      <c r="N41">
        <v>136.30000000000001</v>
      </c>
    </row>
    <row r="42" spans="2:14">
      <c r="B42" s="19"/>
      <c r="C42" s="47">
        <v>3</v>
      </c>
      <c r="D42" s="2">
        <v>5.3E-3</v>
      </c>
      <c r="E42" s="81">
        <v>0.93</v>
      </c>
      <c r="F42" s="81">
        <v>1.86</v>
      </c>
      <c r="G42" s="32">
        <f t="shared" si="18"/>
        <v>3.3692798768399997E-3</v>
      </c>
      <c r="H42" s="31">
        <f t="shared" si="19"/>
        <v>1.5730364332246556</v>
      </c>
      <c r="I42" s="30">
        <f t="shared" si="20"/>
        <v>59.562045418389317</v>
      </c>
      <c r="J42">
        <v>89</v>
      </c>
      <c r="K42" s="33"/>
      <c r="M42">
        <v>3</v>
      </c>
      <c r="N42">
        <v>89</v>
      </c>
    </row>
    <row r="43" spans="2:14">
      <c r="B43" s="19"/>
      <c r="C43" s="47">
        <v>4</v>
      </c>
      <c r="D43" s="2">
        <v>5.4000000000000003E-3</v>
      </c>
      <c r="E43" s="81">
        <v>0.92</v>
      </c>
      <c r="F43" s="81">
        <v>1.84</v>
      </c>
      <c r="G43" s="32">
        <f t="shared" si="18"/>
        <v>3.2617579118933327E-3</v>
      </c>
      <c r="H43" s="31">
        <f t="shared" si="19"/>
        <v>1.6555489848924734</v>
      </c>
      <c r="I43" s="30">
        <f t="shared" si="20"/>
        <v>57.440900131298889</v>
      </c>
      <c r="J43">
        <v>209.3</v>
      </c>
      <c r="K43" s="33">
        <f t="shared" si="21"/>
        <v>157.96950828025476</v>
      </c>
      <c r="M43">
        <v>4</v>
      </c>
      <c r="N43">
        <v>209.3</v>
      </c>
    </row>
    <row r="44" spans="2:14">
      <c r="B44" s="19"/>
      <c r="C44" s="47">
        <v>5</v>
      </c>
      <c r="D44" s="2">
        <v>5.3E-3</v>
      </c>
      <c r="E44" s="81">
        <v>0.91</v>
      </c>
      <c r="F44" s="81">
        <v>1.82</v>
      </c>
      <c r="G44" s="32">
        <f t="shared" si="18"/>
        <v>3.1565481571866664E-3</v>
      </c>
      <c r="H44" s="31">
        <f t="shared" si="19"/>
        <v>1.6790493083190361</v>
      </c>
      <c r="I44" s="30">
        <f t="shared" si="20"/>
        <v>56.836778706451518</v>
      </c>
      <c r="J44">
        <v>73.7</v>
      </c>
      <c r="K44" s="33"/>
      <c r="M44">
        <v>5</v>
      </c>
      <c r="N44">
        <v>73.7</v>
      </c>
    </row>
    <row r="45" spans="2:14">
      <c r="B45" s="19"/>
      <c r="C45" s="47">
        <v>6</v>
      </c>
      <c r="D45" s="2">
        <v>5.4000000000000003E-3</v>
      </c>
      <c r="E45" s="81">
        <v>0.87</v>
      </c>
      <c r="F45" s="81">
        <v>1.74</v>
      </c>
      <c r="G45" s="32">
        <f t="shared" si="18"/>
        <v>2.7583285863599992E-3</v>
      </c>
      <c r="H45" s="31">
        <f t="shared" si="19"/>
        <v>1.9577072966227191</v>
      </c>
      <c r="I45" s="30">
        <f t="shared" si="20"/>
        <v>49.673334277050927</v>
      </c>
      <c r="J45">
        <v>167</v>
      </c>
      <c r="K45" s="33">
        <f t="shared" si="21"/>
        <v>112.71542675159235</v>
      </c>
      <c r="M45">
        <v>6</v>
      </c>
      <c r="N45">
        <v>167</v>
      </c>
    </row>
    <row r="46" spans="2:14">
      <c r="B46" s="19"/>
      <c r="C46" s="47">
        <v>7</v>
      </c>
      <c r="D46" s="2">
        <v>5.4999999999999997E-3</v>
      </c>
      <c r="E46" s="81">
        <v>0.87</v>
      </c>
      <c r="F46" s="81">
        <v>1.73</v>
      </c>
      <c r="G46" s="32">
        <f t="shared" si="18"/>
        <v>2.7583285863599992E-3</v>
      </c>
      <c r="H46" s="31">
        <f t="shared" si="19"/>
        <v>1.9939611354490654</v>
      </c>
      <c r="I46" s="30">
        <f t="shared" si="20"/>
        <v>48.741358985885206</v>
      </c>
      <c r="J46">
        <v>153.30000000000001</v>
      </c>
      <c r="K46" s="33">
        <f t="shared" si="21"/>
        <v>103.46871210191082</v>
      </c>
      <c r="M46">
        <v>7</v>
      </c>
      <c r="N46">
        <v>153.30000000000001</v>
      </c>
    </row>
    <row r="47" spans="2:14" ht="15" thickBot="1">
      <c r="B47" s="19"/>
      <c r="C47" s="47">
        <v>8</v>
      </c>
      <c r="D47" s="13">
        <v>5.4999999999999997E-3</v>
      </c>
      <c r="E47" s="81">
        <v>0.86</v>
      </c>
      <c r="F47" s="81">
        <v>1.71</v>
      </c>
      <c r="G47" s="32">
        <f>(4/3)*3.14159*((E47/10)^3)</f>
        <v>2.6643028920533326E-3</v>
      </c>
      <c r="H47" s="31">
        <f t="shared" si="19"/>
        <v>2.0643298539383577</v>
      </c>
      <c r="I47" s="30">
        <f>(1-(H47/3.89))*100</f>
        <v>46.932394500299289</v>
      </c>
      <c r="J47">
        <v>106.3</v>
      </c>
      <c r="K47" s="33"/>
      <c r="M47">
        <v>8</v>
      </c>
      <c r="N47">
        <v>106.3</v>
      </c>
    </row>
    <row r="48" spans="2:14">
      <c r="B48" s="19"/>
      <c r="C48" s="39" t="s">
        <v>102</v>
      </c>
      <c r="D48" s="80">
        <f>AVERAGE(D40:D47)</f>
        <v>5.4124999999999998E-3</v>
      </c>
      <c r="E48" s="76">
        <f>AVERAGE(E40:E47)</f>
        <v>0.90250000000000008</v>
      </c>
      <c r="F48" s="76">
        <f t="shared" ref="F48:K48" si="22">AVERAGE(F40:F47)</f>
        <v>1.80375</v>
      </c>
      <c r="G48" s="80">
        <f t="shared" si="22"/>
        <v>3.0883882205466661E-3</v>
      </c>
      <c r="H48" s="51">
        <f t="shared" si="22"/>
        <v>1.7698432096253343</v>
      </c>
      <c r="I48" s="51">
        <f t="shared" si="22"/>
        <v>54.502745253847444</v>
      </c>
      <c r="J48" s="51">
        <f t="shared" si="22"/>
        <v>142.48750000000001</v>
      </c>
      <c r="K48" s="51">
        <f t="shared" si="22"/>
        <v>127.47614573248407</v>
      </c>
    </row>
    <row r="49" spans="2:14" ht="15" thickBot="1">
      <c r="B49" s="19"/>
      <c r="C49" s="40" t="s">
        <v>76</v>
      </c>
      <c r="D49" s="80">
        <f>STDEV(D40:D47)</f>
        <v>8.3452296039627843E-5</v>
      </c>
      <c r="E49" s="76">
        <f>STDEV(E40:E47)</f>
        <v>3.0589447293376964E-2</v>
      </c>
      <c r="F49" s="76">
        <f t="shared" ref="F49:J49" si="23">STDEV(F40:F47)</f>
        <v>6.6103274178688498E-2</v>
      </c>
      <c r="G49" s="80">
        <f t="shared" si="23"/>
        <v>3.0917639085808405E-4</v>
      </c>
      <c r="H49" s="51">
        <f t="shared" si="23"/>
        <v>0.1996807410140608</v>
      </c>
      <c r="I49" s="51">
        <f t="shared" si="23"/>
        <v>5.1331810029321296</v>
      </c>
      <c r="J49" s="51">
        <f t="shared" si="23"/>
        <v>50.751423273497579</v>
      </c>
      <c r="K49" s="51">
        <f>STDEV(K40:K47)</f>
        <v>28.115874618449933</v>
      </c>
    </row>
    <row r="52" spans="2:14">
      <c r="B52" s="52" t="s">
        <v>113</v>
      </c>
      <c r="C52" s="33"/>
      <c r="D52" s="47" t="s">
        <v>71</v>
      </c>
      <c r="E52" s="47" t="s">
        <v>94</v>
      </c>
      <c r="F52" s="47" t="s">
        <v>72</v>
      </c>
      <c r="G52" s="47" t="s">
        <v>95</v>
      </c>
      <c r="H52" s="47" t="s">
        <v>73</v>
      </c>
      <c r="I52" s="47" t="s">
        <v>96</v>
      </c>
      <c r="J52" s="47" t="s">
        <v>97</v>
      </c>
      <c r="K52" s="47" t="s">
        <v>98</v>
      </c>
      <c r="N52" t="s">
        <v>99</v>
      </c>
    </row>
    <row r="53" spans="2:14">
      <c r="B53" s="19"/>
      <c r="C53" s="47">
        <v>1</v>
      </c>
      <c r="D53" s="2">
        <v>1.09E-2</v>
      </c>
      <c r="E53" s="81">
        <v>1.22</v>
      </c>
      <c r="F53" s="81">
        <v>2.44</v>
      </c>
      <c r="G53" s="32">
        <f>(4/3)*3.14159*((E53/10)^3)</f>
        <v>7.6061998910933321E-3</v>
      </c>
      <c r="H53" s="31">
        <f>D53/G53</f>
        <v>1.4330414866908276</v>
      </c>
      <c r="I53" s="30">
        <f>(1-(H53/3.89))*100</f>
        <v>63.160887231598259</v>
      </c>
      <c r="J53">
        <v>167.7</v>
      </c>
      <c r="K53" s="33"/>
      <c r="M53">
        <v>1</v>
      </c>
      <c r="N53">
        <v>167.7</v>
      </c>
    </row>
    <row r="54" spans="2:14">
      <c r="B54" s="19"/>
      <c r="C54" s="47">
        <v>2</v>
      </c>
      <c r="D54" s="2">
        <v>1.11E-2</v>
      </c>
      <c r="E54" s="81">
        <v>1.21</v>
      </c>
      <c r="F54" s="81">
        <v>2.4300000000000002</v>
      </c>
      <c r="G54" s="32">
        <f t="shared" ref="G54:G59" si="24">(4/3)*3.14159*((E54/10)^3)</f>
        <v>7.4206910959866649E-3</v>
      </c>
      <c r="H54" s="31">
        <f t="shared" ref="H54:H60" si="25">D54/G54</f>
        <v>1.4958175534355846</v>
      </c>
      <c r="I54" s="30">
        <f t="shared" ref="I54:I59" si="26">(1-(H54/3.89))*100</f>
        <v>61.547106595486255</v>
      </c>
      <c r="J54">
        <v>85.3</v>
      </c>
      <c r="K54" s="33">
        <f t="shared" ref="K54:K60" si="27">2.8*(J54)/3.14*(E54^2)</f>
        <v>111.36485477707005</v>
      </c>
      <c r="M54">
        <v>2</v>
      </c>
      <c r="N54">
        <v>85.3</v>
      </c>
    </row>
    <row r="55" spans="2:14">
      <c r="B55" s="19"/>
      <c r="C55" s="47">
        <v>3</v>
      </c>
      <c r="D55" s="2">
        <v>1.14E-2</v>
      </c>
      <c r="E55" s="81">
        <v>1.2</v>
      </c>
      <c r="F55" s="81">
        <v>2.41</v>
      </c>
      <c r="G55" s="32">
        <f t="shared" si="24"/>
        <v>7.2382233599999988E-3</v>
      </c>
      <c r="H55" s="31">
        <f t="shared" si="25"/>
        <v>1.5749721213355874</v>
      </c>
      <c r="I55" s="30">
        <f t="shared" si="26"/>
        <v>59.512284798571024</v>
      </c>
      <c r="J55">
        <v>138.30000000000001</v>
      </c>
      <c r="K55" s="33">
        <f t="shared" si="27"/>
        <v>177.58777070063695</v>
      </c>
      <c r="M55">
        <v>3</v>
      </c>
      <c r="N55">
        <v>138.30000000000001</v>
      </c>
    </row>
    <row r="56" spans="2:14">
      <c r="B56" s="19"/>
      <c r="C56" s="47">
        <v>4</v>
      </c>
      <c r="D56" s="2">
        <v>1.1900000000000001E-2</v>
      </c>
      <c r="E56" s="81">
        <v>1.23</v>
      </c>
      <c r="F56" s="81">
        <v>2.4500000000000002</v>
      </c>
      <c r="G56" s="32">
        <f t="shared" si="24"/>
        <v>7.7947748780399992E-3</v>
      </c>
      <c r="H56" s="31">
        <f t="shared" si="25"/>
        <v>1.5266637184770451</v>
      </c>
      <c r="I56" s="30">
        <f t="shared" si="26"/>
        <v>60.754146054574676</v>
      </c>
      <c r="J56">
        <v>115</v>
      </c>
      <c r="K56" s="33">
        <f t="shared" si="27"/>
        <v>155.14452229299363</v>
      </c>
      <c r="M56">
        <v>4</v>
      </c>
      <c r="N56">
        <v>115</v>
      </c>
    </row>
    <row r="57" spans="2:14">
      <c r="B57" s="19"/>
      <c r="C57" s="47">
        <v>5</v>
      </c>
      <c r="D57" s="2">
        <v>1.09E-2</v>
      </c>
      <c r="E57" s="81">
        <v>1.2</v>
      </c>
      <c r="F57" s="81">
        <v>2.4</v>
      </c>
      <c r="G57" s="32">
        <f t="shared" si="24"/>
        <v>7.2382233599999988E-3</v>
      </c>
      <c r="H57" s="31">
        <f t="shared" si="25"/>
        <v>1.5058943967156053</v>
      </c>
      <c r="I57" s="30">
        <f t="shared" si="26"/>
        <v>61.28806178108983</v>
      </c>
      <c r="J57">
        <v>144</v>
      </c>
      <c r="K57" s="33">
        <f t="shared" si="27"/>
        <v>184.90700636942671</v>
      </c>
      <c r="M57">
        <v>5</v>
      </c>
      <c r="N57">
        <v>144</v>
      </c>
    </row>
    <row r="58" spans="2:14">
      <c r="B58" s="19"/>
      <c r="C58" s="47">
        <v>6</v>
      </c>
      <c r="D58" s="2">
        <v>1.14E-2</v>
      </c>
      <c r="E58" s="81">
        <v>1.2</v>
      </c>
      <c r="F58" s="81">
        <v>2.4</v>
      </c>
      <c r="G58" s="32">
        <f t="shared" si="24"/>
        <v>7.2382233599999988E-3</v>
      </c>
      <c r="H58" s="31">
        <f t="shared" si="25"/>
        <v>1.5749721213355874</v>
      </c>
      <c r="I58" s="30">
        <f t="shared" si="26"/>
        <v>59.512284798571024</v>
      </c>
      <c r="J58">
        <v>198</v>
      </c>
      <c r="K58" s="33"/>
      <c r="M58">
        <v>6</v>
      </c>
      <c r="N58">
        <v>198</v>
      </c>
    </row>
    <row r="59" spans="2:14">
      <c r="B59" s="19"/>
      <c r="C59" s="47">
        <v>7</v>
      </c>
      <c r="D59" s="2">
        <v>1.06E-2</v>
      </c>
      <c r="E59" s="81">
        <v>1.22</v>
      </c>
      <c r="F59" s="81">
        <v>2.4300000000000002</v>
      </c>
      <c r="G59" s="32">
        <f t="shared" si="24"/>
        <v>7.6061998910933321E-3</v>
      </c>
      <c r="H59" s="31">
        <f t="shared" si="25"/>
        <v>1.3935999778828232</v>
      </c>
      <c r="I59" s="30">
        <f t="shared" si="26"/>
        <v>64.174807766508408</v>
      </c>
      <c r="J59">
        <v>120.3</v>
      </c>
      <c r="K59" s="33">
        <f t="shared" si="27"/>
        <v>159.66645095541401</v>
      </c>
      <c r="M59">
        <v>7</v>
      </c>
      <c r="N59">
        <v>120.3</v>
      </c>
    </row>
    <row r="60" spans="2:14" ht="15" thickBot="1">
      <c r="B60" s="19"/>
      <c r="C60" s="47">
        <v>8</v>
      </c>
      <c r="D60" s="13">
        <v>1.1299999999999999E-2</v>
      </c>
      <c r="E60" s="81">
        <v>1.2</v>
      </c>
      <c r="F60" s="81">
        <v>2.4</v>
      </c>
      <c r="G60" s="32">
        <f>(4/3)*3.14159*((E60/10)^3)</f>
        <v>7.2382233599999988E-3</v>
      </c>
      <c r="H60" s="31">
        <f t="shared" si="25"/>
        <v>1.5611565764115907</v>
      </c>
      <c r="I60" s="30">
        <f>(1-(H60/3.89))*100</f>
        <v>59.867440195074792</v>
      </c>
      <c r="J60">
        <v>130</v>
      </c>
      <c r="K60" s="33">
        <f t="shared" si="27"/>
        <v>166.92993630573247</v>
      </c>
      <c r="M60">
        <v>8</v>
      </c>
      <c r="N60">
        <v>130</v>
      </c>
    </row>
    <row r="61" spans="2:14">
      <c r="B61" s="19"/>
      <c r="C61" s="39" t="s">
        <v>102</v>
      </c>
      <c r="D61" s="80">
        <f>AVERAGE(D53:D60)</f>
        <v>1.11875E-2</v>
      </c>
      <c r="E61" s="76">
        <f>AVERAGE(E53:E60)</f>
        <v>1.21</v>
      </c>
      <c r="F61" s="76">
        <f t="shared" ref="F61:K61" si="28">AVERAGE(F53:F60)</f>
        <v>2.42</v>
      </c>
      <c r="G61" s="80">
        <f t="shared" si="28"/>
        <v>7.4225948995266652E-3</v>
      </c>
      <c r="H61" s="51">
        <f t="shared" si="28"/>
        <v>1.5082647440355816</v>
      </c>
      <c r="I61" s="51">
        <f t="shared" si="28"/>
        <v>61.227127402684289</v>
      </c>
      <c r="J61" s="51">
        <f t="shared" si="28"/>
        <v>137.32499999999999</v>
      </c>
      <c r="K61" s="51">
        <f t="shared" si="28"/>
        <v>159.2667569002123</v>
      </c>
    </row>
    <row r="62" spans="2:14" ht="15" thickBot="1">
      <c r="B62" s="19"/>
      <c r="C62" s="40" t="s">
        <v>76</v>
      </c>
      <c r="D62" s="80">
        <f>STDEV(D53:D60)</f>
        <v>4.0155946010522552E-4</v>
      </c>
      <c r="E62" s="76">
        <f>STDEV(E53:E60)</f>
        <v>1.1952286093343947E-2</v>
      </c>
      <c r="F62" s="76">
        <f t="shared" ref="F62:J62" si="29">STDEV(F53:F60)</f>
        <v>2.000000000000008E-2</v>
      </c>
      <c r="G62" s="80">
        <f t="shared" si="29"/>
        <v>2.2100892195314157E-4</v>
      </c>
      <c r="H62" s="51">
        <f t="shared" si="29"/>
        <v>6.6550640984089207E-2</v>
      </c>
      <c r="I62" s="51">
        <f t="shared" si="29"/>
        <v>1.7108133929071774</v>
      </c>
      <c r="J62" s="51">
        <f t="shared" si="29"/>
        <v>34.222204571217979</v>
      </c>
      <c r="K62" s="51">
        <f>STDEV(K53:K60)</f>
        <v>25.936657682245322</v>
      </c>
    </row>
    <row r="65" spans="2:15">
      <c r="B65" s="52" t="s">
        <v>114</v>
      </c>
      <c r="C65" s="33"/>
      <c r="D65" s="47" t="s">
        <v>71</v>
      </c>
      <c r="E65" s="47" t="s">
        <v>94</v>
      </c>
      <c r="F65" s="47" t="s">
        <v>72</v>
      </c>
      <c r="G65" s="47" t="s">
        <v>95</v>
      </c>
      <c r="H65" s="47" t="s">
        <v>73</v>
      </c>
      <c r="I65" s="47" t="s">
        <v>96</v>
      </c>
      <c r="J65" s="47" t="s">
        <v>97</v>
      </c>
      <c r="K65" s="47" t="s">
        <v>98</v>
      </c>
      <c r="N65" t="s">
        <v>99</v>
      </c>
    </row>
    <row r="66" spans="2:15">
      <c r="B66" s="19"/>
      <c r="C66" s="47">
        <v>1</v>
      </c>
      <c r="D66" s="2">
        <v>5.4999999999999997E-3</v>
      </c>
      <c r="E66" s="81">
        <v>0.92</v>
      </c>
      <c r="F66" s="81">
        <v>1.85</v>
      </c>
      <c r="G66" s="32">
        <f>(4/3)*3.14159*((E66/10)^3)</f>
        <v>3.2617579118933327E-3</v>
      </c>
      <c r="H66" s="31">
        <f>D66/G66</f>
        <v>1.686207299427519</v>
      </c>
      <c r="I66" s="30">
        <f>(1-(H66/3.89))*100</f>
        <v>56.652768652248866</v>
      </c>
      <c r="J66">
        <v>99.7</v>
      </c>
      <c r="K66" s="33">
        <f>2.8*(J66)/3.14*(E66^2)</f>
        <v>75.248733757961773</v>
      </c>
      <c r="M66">
        <v>1</v>
      </c>
      <c r="N66">
        <v>99.7</v>
      </c>
    </row>
    <row r="67" spans="2:15">
      <c r="B67" s="19"/>
      <c r="C67" s="47">
        <v>2</v>
      </c>
      <c r="D67" s="2">
        <v>5.3E-3</v>
      </c>
      <c r="E67" s="81">
        <v>0.93</v>
      </c>
      <c r="F67" s="81">
        <v>1.87</v>
      </c>
      <c r="G67" s="32">
        <f t="shared" ref="G67:G72" si="30">(4/3)*3.14159*((E67/10)^3)</f>
        <v>3.3692798768399997E-3</v>
      </c>
      <c r="H67" s="31">
        <f t="shared" ref="H67:H73" si="31">D67/G67</f>
        <v>1.5730364332246556</v>
      </c>
      <c r="I67" s="30">
        <f t="shared" ref="I67:I72" si="32">(1-(H67/3.89))*100</f>
        <v>59.562045418389317</v>
      </c>
      <c r="J67">
        <v>109.3</v>
      </c>
      <c r="K67" s="33">
        <f t="shared" ref="K67:K73" si="33">2.8*(J67)/3.14*(E67^2)</f>
        <v>84.297450955414007</v>
      </c>
      <c r="M67">
        <v>2</v>
      </c>
      <c r="N67">
        <v>109.3</v>
      </c>
    </row>
    <row r="68" spans="2:15">
      <c r="B68" s="19"/>
      <c r="C68" s="47">
        <v>3</v>
      </c>
      <c r="D68" s="2">
        <v>5.7999999999999996E-3</v>
      </c>
      <c r="E68" s="81">
        <v>0.93</v>
      </c>
      <c r="F68" s="81">
        <v>1.86</v>
      </c>
      <c r="G68" s="32">
        <f t="shared" si="30"/>
        <v>3.3692798768399997E-3</v>
      </c>
      <c r="H68" s="31">
        <f t="shared" si="31"/>
        <v>1.7214360967364155</v>
      </c>
      <c r="I68" s="30">
        <f>(1-(H68/3.89))*100</f>
        <v>55.747144042765662</v>
      </c>
      <c r="J68">
        <v>87.3</v>
      </c>
      <c r="K68" s="33">
        <f>2.8*(J68)/3.14*(E68^2)</f>
        <v>67.329985987261139</v>
      </c>
      <c r="M68">
        <v>3</v>
      </c>
      <c r="N68">
        <v>87.3</v>
      </c>
    </row>
    <row r="69" spans="2:15">
      <c r="B69" s="19"/>
      <c r="C69" s="47">
        <v>4</v>
      </c>
      <c r="D69" s="2">
        <v>5.5999999999999999E-3</v>
      </c>
      <c r="E69" s="81">
        <v>0.95</v>
      </c>
      <c r="F69" s="81">
        <v>1.9</v>
      </c>
      <c r="G69" s="32">
        <f t="shared" si="30"/>
        <v>3.5913609683333333E-3</v>
      </c>
      <c r="H69" s="31">
        <f t="shared" si="31"/>
        <v>1.5592974500134498</v>
      </c>
      <c r="I69" s="30">
        <f t="shared" si="32"/>
        <v>59.915232647469161</v>
      </c>
      <c r="J69">
        <v>114.3</v>
      </c>
      <c r="K69" s="33">
        <f>2.8*(J69)/3.14*(E69^2)</f>
        <v>91.986019108280246</v>
      </c>
      <c r="M69">
        <v>4</v>
      </c>
      <c r="N69">
        <v>114.3</v>
      </c>
    </row>
    <row r="70" spans="2:15">
      <c r="B70" s="19"/>
      <c r="C70" s="47">
        <v>5</v>
      </c>
      <c r="D70" s="2">
        <v>5.5999999999999999E-3</v>
      </c>
      <c r="E70" s="81">
        <v>0.96</v>
      </c>
      <c r="F70" s="81">
        <v>1.93</v>
      </c>
      <c r="G70" s="32">
        <f t="shared" si="30"/>
        <v>3.7059703603199998E-3</v>
      </c>
      <c r="H70" s="31">
        <f t="shared" si="31"/>
        <v>1.5110752260621039</v>
      </c>
      <c r="I70" s="30">
        <f t="shared" si="32"/>
        <v>61.154878507400937</v>
      </c>
      <c r="J70">
        <v>71.7</v>
      </c>
      <c r="K70" s="33"/>
      <c r="M70">
        <v>5</v>
      </c>
      <c r="N70">
        <v>71.7</v>
      </c>
    </row>
    <row r="71" spans="2:15">
      <c r="B71" s="19"/>
      <c r="C71" s="47">
        <v>6</v>
      </c>
      <c r="D71" s="48">
        <v>5.5999999999999999E-3</v>
      </c>
      <c r="E71" s="81">
        <v>0.95</v>
      </c>
      <c r="F71" s="81">
        <v>1.9</v>
      </c>
      <c r="G71" s="32">
        <f t="shared" si="30"/>
        <v>3.5913609683333333E-3</v>
      </c>
      <c r="H71" s="31">
        <f t="shared" si="31"/>
        <v>1.5592974500134498</v>
      </c>
      <c r="I71" s="30">
        <f t="shared" si="32"/>
        <v>59.915232647469161</v>
      </c>
      <c r="J71">
        <v>79</v>
      </c>
      <c r="K71" s="33">
        <f t="shared" si="33"/>
        <v>63.577388535031844</v>
      </c>
      <c r="M71">
        <v>6</v>
      </c>
      <c r="N71">
        <v>79</v>
      </c>
    </row>
    <row r="72" spans="2:15">
      <c r="B72" s="19"/>
      <c r="C72" s="47">
        <v>7</v>
      </c>
      <c r="D72" s="2">
        <v>5.7000000000000002E-3</v>
      </c>
      <c r="E72" s="81">
        <v>0.96</v>
      </c>
      <c r="F72" s="81">
        <v>1.93</v>
      </c>
      <c r="G72" s="32">
        <f t="shared" si="30"/>
        <v>3.7059703603199998E-3</v>
      </c>
      <c r="H72" s="31">
        <f t="shared" si="31"/>
        <v>1.5380587122417844</v>
      </c>
      <c r="I72" s="30">
        <f t="shared" si="32"/>
        <v>60.461215623604517</v>
      </c>
      <c r="J72">
        <v>79.7</v>
      </c>
      <c r="K72" s="33">
        <f t="shared" si="33"/>
        <v>65.498170700636948</v>
      </c>
      <c r="M72">
        <v>7</v>
      </c>
      <c r="N72">
        <v>79.7</v>
      </c>
    </row>
    <row r="73" spans="2:15" ht="15" thickBot="1">
      <c r="B73" s="19"/>
      <c r="C73" s="47">
        <v>8</v>
      </c>
      <c r="D73" s="13">
        <v>5.5999999999999999E-3</v>
      </c>
      <c r="E73" s="81">
        <v>0.96</v>
      </c>
      <c r="F73" s="81">
        <v>1.92</v>
      </c>
      <c r="G73" s="32">
        <f>(4/3)*3.14159*((E73/10)^3)</f>
        <v>3.7059703603199998E-3</v>
      </c>
      <c r="H73" s="31">
        <f t="shared" si="31"/>
        <v>1.5110752260621039</v>
      </c>
      <c r="I73" s="30">
        <f>(1-(H73/3.89))*100</f>
        <v>61.154878507400937</v>
      </c>
      <c r="J73">
        <v>109</v>
      </c>
      <c r="K73" s="33">
        <f t="shared" si="33"/>
        <v>89.577171974522287</v>
      </c>
      <c r="M73">
        <v>8</v>
      </c>
      <c r="N73">
        <v>109</v>
      </c>
    </row>
    <row r="74" spans="2:15">
      <c r="B74" s="19"/>
      <c r="C74" s="39" t="s">
        <v>102</v>
      </c>
      <c r="D74" s="80">
        <f>AVERAGE(D66:D73)</f>
        <v>5.5874999999999996E-3</v>
      </c>
      <c r="E74" s="76">
        <f>AVERAGE(E66:E73)</f>
        <v>0.94500000000000006</v>
      </c>
      <c r="F74" s="76">
        <f t="shared" ref="F74:K74" si="34">AVERAGE(F66:F73)</f>
        <v>1.895</v>
      </c>
      <c r="G74" s="80">
        <f t="shared" si="34"/>
        <v>3.5376188353999994E-3</v>
      </c>
      <c r="H74" s="51">
        <f t="shared" si="34"/>
        <v>1.5824354867226853</v>
      </c>
      <c r="I74" s="51">
        <f t="shared" si="34"/>
        <v>59.320424505843576</v>
      </c>
      <c r="J74" s="51">
        <f t="shared" si="34"/>
        <v>93.75</v>
      </c>
      <c r="K74" s="51">
        <f t="shared" si="34"/>
        <v>76.787845859872604</v>
      </c>
    </row>
    <row r="75" spans="2:15" ht="15" thickBot="1">
      <c r="B75" s="19"/>
      <c r="C75" s="40" t="s">
        <v>76</v>
      </c>
      <c r="D75" s="80">
        <f>STDEV(D66:D73)</f>
        <v>1.4577379737113245E-4</v>
      </c>
      <c r="E75" s="76">
        <f>STDEV(E66:E73)</f>
        <v>1.6035674514745423E-2</v>
      </c>
      <c r="F75" s="76">
        <f t="shared" ref="F75:J75" si="35">STDEV(F66:F73)</f>
        <v>3.1622776601683715E-2</v>
      </c>
      <c r="G75" s="80">
        <f t="shared" si="35"/>
        <v>1.787170151741088E-4</v>
      </c>
      <c r="H75" s="51">
        <f t="shared" si="35"/>
        <v>7.8742537156438669E-2</v>
      </c>
      <c r="I75" s="51">
        <f t="shared" si="35"/>
        <v>2.0242297469521562</v>
      </c>
      <c r="J75" s="51">
        <f t="shared" si="35"/>
        <v>16.365643455553016</v>
      </c>
      <c r="K75" s="51">
        <f>STDEV(K66:K73)</f>
        <v>11.865485160829307</v>
      </c>
    </row>
    <row r="78" spans="2:15" ht="15" thickBot="1"/>
    <row r="79" spans="2:15" ht="38.1" customHeight="1">
      <c r="C79" s="207" t="s">
        <v>115</v>
      </c>
      <c r="D79" s="209" t="s">
        <v>69</v>
      </c>
      <c r="E79" s="210"/>
      <c r="F79" s="209" t="s">
        <v>70</v>
      </c>
      <c r="G79" s="210"/>
      <c r="H79" s="209" t="s">
        <v>71</v>
      </c>
      <c r="I79" s="210"/>
      <c r="J79" s="209" t="s">
        <v>72</v>
      </c>
      <c r="K79" s="210"/>
      <c r="L79" s="211" t="s">
        <v>73</v>
      </c>
      <c r="M79" s="202"/>
      <c r="N79" s="212" t="s">
        <v>116</v>
      </c>
      <c r="O79" s="213"/>
    </row>
    <row r="80" spans="2:15" ht="15.75" thickBot="1">
      <c r="C80" s="208"/>
      <c r="D80" s="87" t="s">
        <v>75</v>
      </c>
      <c r="E80" s="88" t="s">
        <v>76</v>
      </c>
      <c r="F80" s="87" t="s">
        <v>75</v>
      </c>
      <c r="G80" s="88" t="s">
        <v>76</v>
      </c>
      <c r="H80" s="87" t="s">
        <v>75</v>
      </c>
      <c r="I80" s="88" t="s">
        <v>76</v>
      </c>
      <c r="J80" s="87" t="s">
        <v>75</v>
      </c>
      <c r="K80" s="88" t="s">
        <v>76</v>
      </c>
      <c r="L80" s="87" t="s">
        <v>75</v>
      </c>
      <c r="M80" s="86" t="s">
        <v>76</v>
      </c>
      <c r="N80" s="86" t="s">
        <v>75</v>
      </c>
      <c r="O80" s="88" t="s">
        <v>76</v>
      </c>
    </row>
    <row r="81" spans="3:15">
      <c r="C81" s="175" t="s">
        <v>113</v>
      </c>
      <c r="D81" s="176">
        <v>61.227127402684289</v>
      </c>
      <c r="E81" s="176">
        <v>1.7108133929071774</v>
      </c>
      <c r="F81" s="177">
        <v>159.2667569002123</v>
      </c>
      <c r="G81" s="178">
        <v>25.936657682245322</v>
      </c>
      <c r="H81" s="179">
        <v>1.11875E-2</v>
      </c>
      <c r="I81" s="179">
        <v>4.0155946010522552E-4</v>
      </c>
      <c r="J81" s="60">
        <v>2.42</v>
      </c>
      <c r="K81" s="60">
        <v>2.000000000000008E-2</v>
      </c>
      <c r="L81" s="60">
        <v>1.5082647440355816</v>
      </c>
      <c r="M81" s="60">
        <v>6.6550640984089207E-2</v>
      </c>
      <c r="N81" s="177">
        <v>144.75714285714284</v>
      </c>
      <c r="O81" s="180">
        <v>29.168639389068641</v>
      </c>
    </row>
    <row r="82" spans="3:15">
      <c r="C82" s="181" t="s">
        <v>109</v>
      </c>
      <c r="D82" s="30">
        <v>59.805291889839012</v>
      </c>
      <c r="E82" s="137">
        <v>6.1076117822974716</v>
      </c>
      <c r="F82" s="135">
        <v>310.30479384288742</v>
      </c>
      <c r="G82" s="135">
        <v>46.822038359813355</v>
      </c>
      <c r="H82" s="32">
        <v>1.0187499999999999E-2</v>
      </c>
      <c r="I82" s="138">
        <v>1.5122712341753663E-3</v>
      </c>
      <c r="J82" s="61">
        <v>2.2925</v>
      </c>
      <c r="K82" s="61">
        <v>6.9230463979791018E-2</v>
      </c>
      <c r="L82" s="61">
        <v>1.6208910539623256</v>
      </c>
      <c r="M82" s="61">
        <v>0.27324915176303988</v>
      </c>
      <c r="N82" s="135">
        <v>259.2</v>
      </c>
      <c r="O82" s="91">
        <v>42.34595612334185</v>
      </c>
    </row>
    <row r="83" spans="3:15" ht="15" thickBot="1">
      <c r="C83" s="182" t="s">
        <v>110</v>
      </c>
      <c r="D83" s="183">
        <v>52.620995602374656</v>
      </c>
      <c r="E83" s="183">
        <v>6.1618204983742446</v>
      </c>
      <c r="F83" s="183">
        <v>309.21523269639061</v>
      </c>
      <c r="G83" s="183">
        <v>38.647701226639619</v>
      </c>
      <c r="H83" s="184">
        <v>1.0862500000000001E-2</v>
      </c>
      <c r="I83" s="184">
        <v>2.7222627143085E-4</v>
      </c>
      <c r="J83" s="84">
        <v>2.2162500000000001</v>
      </c>
      <c r="K83" s="84">
        <v>0.12374368670764589</v>
      </c>
      <c r="L83" s="84">
        <v>1.9349518941711605</v>
      </c>
      <c r="M83" s="84">
        <v>0.34179453998325005</v>
      </c>
      <c r="N83" s="183">
        <v>258.23749999999995</v>
      </c>
      <c r="O83" s="92">
        <v>37.050927788653603</v>
      </c>
    </row>
    <row r="84" spans="3:15" ht="15" thickBot="1"/>
    <row r="85" spans="3:15">
      <c r="C85" s="175" t="s">
        <v>114</v>
      </c>
      <c r="D85" s="178">
        <v>59.320424505843576</v>
      </c>
      <c r="E85" s="178">
        <v>2.0242297469521562</v>
      </c>
      <c r="F85" s="178">
        <v>76.787845859872604</v>
      </c>
      <c r="G85" s="177">
        <v>11.865485160829307</v>
      </c>
      <c r="H85" s="185">
        <v>5.5874999999999996E-3</v>
      </c>
      <c r="I85" s="185">
        <v>1.4577379737113245E-4</v>
      </c>
      <c r="J85" s="60">
        <v>1.895</v>
      </c>
      <c r="K85" s="60">
        <v>3.1622776601683715E-2</v>
      </c>
      <c r="L85" s="60">
        <v>1.5824354867226853</v>
      </c>
      <c r="M85" s="60">
        <v>7.8742537156438669E-2</v>
      </c>
      <c r="N85" s="178">
        <v>93.75</v>
      </c>
      <c r="O85" s="186">
        <v>16.365643455553016</v>
      </c>
    </row>
    <row r="86" spans="3:15">
      <c r="C86" s="181" t="s">
        <v>111</v>
      </c>
      <c r="D86" s="135">
        <v>57.614906188804106</v>
      </c>
      <c r="E86" s="135">
        <v>2.3938182749728822</v>
      </c>
      <c r="F86" s="134">
        <v>123.26059617834396</v>
      </c>
      <c r="G86" s="134">
        <v>18.520022729632778</v>
      </c>
      <c r="H86" s="136">
        <v>5.3250000000000007E-3</v>
      </c>
      <c r="I86" s="136">
        <v>1.58113883008419E-4</v>
      </c>
      <c r="J86" s="61">
        <v>1.8325</v>
      </c>
      <c r="K86" s="61">
        <v>4.3342489875080124E-2</v>
      </c>
      <c r="L86" s="61">
        <v>1.6487801492555201</v>
      </c>
      <c r="M86" s="61">
        <v>9.311953089644498E-2</v>
      </c>
      <c r="N86" s="134">
        <v>166.22857142857143</v>
      </c>
      <c r="O86" s="89">
        <v>23.279441164950399</v>
      </c>
    </row>
    <row r="87" spans="3:15" ht="15" thickBot="1">
      <c r="C87" s="182" t="s">
        <v>112</v>
      </c>
      <c r="D87" s="183">
        <v>54.502745253847444</v>
      </c>
      <c r="E87" s="183">
        <v>5.1331810029321296</v>
      </c>
      <c r="F87" s="183">
        <v>127.47614573248407</v>
      </c>
      <c r="G87" s="187">
        <v>28.115874618449933</v>
      </c>
      <c r="H87" s="184">
        <v>5.4124999999999998E-3</v>
      </c>
      <c r="I87" s="184">
        <v>8.3452296039627843E-5</v>
      </c>
      <c r="J87" s="84">
        <v>1.80375</v>
      </c>
      <c r="K87" s="84">
        <v>6.6103274178688498E-2</v>
      </c>
      <c r="L87" s="84">
        <v>1.7698432096253343</v>
      </c>
      <c r="M87" s="84">
        <v>0.1996807410140608</v>
      </c>
      <c r="N87" s="183">
        <v>162.86666666666667</v>
      </c>
      <c r="O87" s="90">
        <v>39.863400089137748</v>
      </c>
    </row>
    <row r="101" spans="3:15">
      <c r="C101" t="s">
        <v>117</v>
      </c>
    </row>
    <row r="102" spans="3:15" ht="15" thickBot="1"/>
    <row r="103" spans="3:15" ht="15">
      <c r="C103" s="139" t="s">
        <v>115</v>
      </c>
      <c r="D103" s="216" t="s">
        <v>69</v>
      </c>
      <c r="E103" s="217"/>
      <c r="F103" s="216" t="s">
        <v>70</v>
      </c>
      <c r="G103" s="217"/>
      <c r="H103" s="216" t="s">
        <v>71</v>
      </c>
      <c r="I103" s="217"/>
      <c r="J103" s="216" t="s">
        <v>72</v>
      </c>
      <c r="K103" s="217"/>
      <c r="L103" s="218" t="s">
        <v>73</v>
      </c>
      <c r="M103" s="219"/>
      <c r="N103" s="214" t="s">
        <v>116</v>
      </c>
      <c r="O103" s="215"/>
    </row>
    <row r="104" spans="3:15" ht="15.75" thickBot="1">
      <c r="C104" s="140"/>
      <c r="D104" s="141" t="s">
        <v>75</v>
      </c>
      <c r="E104" s="142" t="s">
        <v>76</v>
      </c>
      <c r="F104" s="141" t="s">
        <v>75</v>
      </c>
      <c r="G104" s="142" t="s">
        <v>76</v>
      </c>
      <c r="H104" s="141" t="s">
        <v>75</v>
      </c>
      <c r="I104" s="142" t="s">
        <v>76</v>
      </c>
      <c r="J104" s="141" t="s">
        <v>75</v>
      </c>
      <c r="K104" s="142" t="s">
        <v>76</v>
      </c>
      <c r="L104" s="141" t="s">
        <v>75</v>
      </c>
      <c r="M104" s="143" t="s">
        <v>76</v>
      </c>
      <c r="N104" s="143" t="s">
        <v>75</v>
      </c>
      <c r="O104" s="142" t="s">
        <v>76</v>
      </c>
    </row>
    <row r="105" spans="3:15">
      <c r="C105" s="172" t="s">
        <v>110</v>
      </c>
      <c r="D105" s="144">
        <v>59.805291889839012</v>
      </c>
      <c r="E105" s="145">
        <v>6.1076117822974716</v>
      </c>
      <c r="F105" s="146">
        <v>310.30479384288742</v>
      </c>
      <c r="G105" s="147">
        <v>46.822038359813355</v>
      </c>
      <c r="H105" s="148">
        <v>1.0187499999999999E-2</v>
      </c>
      <c r="I105" s="149">
        <v>1.5122712341753663E-3</v>
      </c>
      <c r="J105" s="150">
        <v>2.2925</v>
      </c>
      <c r="K105" s="151">
        <v>6.9230463979791018E-2</v>
      </c>
      <c r="L105" s="150">
        <v>1.6208910539623256</v>
      </c>
      <c r="M105" s="152">
        <v>0.27324915176303988</v>
      </c>
      <c r="N105" s="146">
        <v>259.2</v>
      </c>
      <c r="O105" s="147">
        <v>42.34595612334185</v>
      </c>
    </row>
    <row r="106" spans="3:15">
      <c r="C106" s="173" t="s">
        <v>109</v>
      </c>
      <c r="D106" s="153">
        <v>52.620995602374656</v>
      </c>
      <c r="E106" s="154">
        <v>6.1618204983742446</v>
      </c>
      <c r="F106" s="153">
        <v>309.21523269639061</v>
      </c>
      <c r="G106" s="154">
        <v>38.647701226639619</v>
      </c>
      <c r="H106" s="155">
        <v>1.0862500000000001E-2</v>
      </c>
      <c r="I106" s="156">
        <v>2.7222627143085E-4</v>
      </c>
      <c r="J106" s="157">
        <v>2.2162500000000001</v>
      </c>
      <c r="K106" s="158">
        <v>0.12374368670764589</v>
      </c>
      <c r="L106" s="157">
        <v>1.9349518941711605</v>
      </c>
      <c r="M106" s="159">
        <v>0.34179453998325005</v>
      </c>
      <c r="N106" s="153">
        <v>258.23749999999995</v>
      </c>
      <c r="O106" s="154">
        <v>37.050927788653603</v>
      </c>
    </row>
    <row r="107" spans="3:15">
      <c r="C107" s="173" t="s">
        <v>112</v>
      </c>
      <c r="D107" s="160">
        <v>57.614906188804106</v>
      </c>
      <c r="E107" s="161">
        <v>2.3938182749728822</v>
      </c>
      <c r="F107" s="153">
        <v>123.26059617834396</v>
      </c>
      <c r="G107" s="154">
        <v>18.520022729632778</v>
      </c>
      <c r="H107" s="162">
        <v>5.3250000000000007E-3</v>
      </c>
      <c r="I107" s="163">
        <v>1.58113883008419E-4</v>
      </c>
      <c r="J107" s="157">
        <v>1.8325</v>
      </c>
      <c r="K107" s="158">
        <v>4.3342489875080124E-2</v>
      </c>
      <c r="L107" s="157">
        <v>1.6487801492555201</v>
      </c>
      <c r="M107" s="159">
        <v>9.311953089644498E-2</v>
      </c>
      <c r="N107" s="153">
        <v>166.22857142857143</v>
      </c>
      <c r="O107" s="154">
        <v>23.279441164950399</v>
      </c>
    </row>
    <row r="108" spans="3:15">
      <c r="C108" s="173" t="s">
        <v>111</v>
      </c>
      <c r="D108" s="153">
        <v>54.502745253847444</v>
      </c>
      <c r="E108" s="154">
        <v>5.1331810029321296</v>
      </c>
      <c r="F108" s="153">
        <v>127.47614573248407</v>
      </c>
      <c r="G108" s="161">
        <v>28.115874618449933</v>
      </c>
      <c r="H108" s="155">
        <v>5.4124999999999998E-3</v>
      </c>
      <c r="I108" s="156">
        <v>8.3452296039627843E-5</v>
      </c>
      <c r="J108" s="157">
        <v>1.80375</v>
      </c>
      <c r="K108" s="158">
        <v>6.6103274178688498E-2</v>
      </c>
      <c r="L108" s="157">
        <v>1.7698432096253343</v>
      </c>
      <c r="M108" s="159">
        <v>0.1996807410140608</v>
      </c>
      <c r="N108" s="153">
        <v>162.86666666666667</v>
      </c>
      <c r="O108" s="161">
        <v>39.863400089137748</v>
      </c>
    </row>
    <row r="109" spans="3:15">
      <c r="C109" s="173" t="s">
        <v>113</v>
      </c>
      <c r="D109" s="160">
        <v>61.227127402684289</v>
      </c>
      <c r="E109" s="161">
        <v>1.7108133929071774</v>
      </c>
      <c r="F109" s="160">
        <v>159.2667569002123</v>
      </c>
      <c r="G109" s="154">
        <v>25.936657682245322</v>
      </c>
      <c r="H109" s="162">
        <v>1.11875E-2</v>
      </c>
      <c r="I109" s="163">
        <v>4.0155946010522552E-4</v>
      </c>
      <c r="J109" s="157">
        <v>2.42</v>
      </c>
      <c r="K109" s="158">
        <v>2.000000000000008E-2</v>
      </c>
      <c r="L109" s="157">
        <v>1.5082647440355816</v>
      </c>
      <c r="M109" s="159">
        <v>6.6550640984089207E-2</v>
      </c>
      <c r="N109" s="160">
        <v>144.75714285714284</v>
      </c>
      <c r="O109" s="154">
        <v>29.168639389068641</v>
      </c>
    </row>
    <row r="110" spans="3:15" ht="15" thickBot="1">
      <c r="C110" s="174" t="s">
        <v>114</v>
      </c>
      <c r="D110" s="164">
        <v>59.320424505843576</v>
      </c>
      <c r="E110" s="165">
        <v>2.0242297469521562</v>
      </c>
      <c r="F110" s="164">
        <v>76.787845859872604</v>
      </c>
      <c r="G110" s="166">
        <v>11.865485160829307</v>
      </c>
      <c r="H110" s="167">
        <v>5.5874999999999996E-3</v>
      </c>
      <c r="I110" s="168">
        <v>1.4577379737113245E-4</v>
      </c>
      <c r="J110" s="169">
        <v>1.895</v>
      </c>
      <c r="K110" s="170">
        <v>3.1622776601683715E-2</v>
      </c>
      <c r="L110" s="169">
        <v>1.5824354867226853</v>
      </c>
      <c r="M110" s="171">
        <v>7.8742537156438669E-2</v>
      </c>
      <c r="N110" s="164">
        <v>93.75</v>
      </c>
      <c r="O110" s="166">
        <v>16.365643455553016</v>
      </c>
    </row>
    <row r="111" spans="3:15">
      <c r="C111" s="83"/>
      <c r="D111" s="85"/>
      <c r="E111" s="85"/>
      <c r="F111" s="83"/>
    </row>
  </sheetData>
  <mergeCells count="13">
    <mergeCell ref="L79:M79"/>
    <mergeCell ref="N79:O79"/>
    <mergeCell ref="N103:O103"/>
    <mergeCell ref="F103:G103"/>
    <mergeCell ref="D103:E103"/>
    <mergeCell ref="H103:I103"/>
    <mergeCell ref="J103:K103"/>
    <mergeCell ref="L103:M103"/>
    <mergeCell ref="C79:C80"/>
    <mergeCell ref="D79:E79"/>
    <mergeCell ref="F79:G79"/>
    <mergeCell ref="H79:I79"/>
    <mergeCell ref="J79:K79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87"/>
  <sheetViews>
    <sheetView topLeftCell="A20" workbookViewId="0">
      <selection activeCell="H14" sqref="H14"/>
    </sheetView>
  </sheetViews>
  <sheetFormatPr defaultColWidth="8.75" defaultRowHeight="14.25"/>
  <cols>
    <col min="1" max="8" width="11.625" style="81" customWidth="1"/>
    <col min="9" max="16384" width="8.75" style="81"/>
  </cols>
  <sheetData>
    <row r="2" spans="1:8" ht="15">
      <c r="A2" s="82" t="s">
        <v>118</v>
      </c>
      <c r="B2" s="82">
        <v>1540</v>
      </c>
    </row>
    <row r="3" spans="1:8">
      <c r="A3" s="81" t="s">
        <v>119</v>
      </c>
      <c r="B3" s="81" t="s">
        <v>120</v>
      </c>
      <c r="C3" s="81" t="s">
        <v>121</v>
      </c>
      <c r="D3" s="81" t="s">
        <v>122</v>
      </c>
      <c r="E3" s="81" t="s">
        <v>123</v>
      </c>
      <c r="F3" s="81" t="s">
        <v>124</v>
      </c>
      <c r="G3" s="81" t="s">
        <v>125</v>
      </c>
      <c r="H3" s="81" t="s">
        <v>126</v>
      </c>
    </row>
    <row r="4" spans="1:8">
      <c r="A4" s="81" t="s">
        <v>127</v>
      </c>
      <c r="B4" s="81" t="s">
        <v>128</v>
      </c>
      <c r="C4" s="81">
        <v>0.91</v>
      </c>
      <c r="D4" s="81">
        <v>1.82</v>
      </c>
      <c r="E4" s="81" t="s">
        <v>129</v>
      </c>
      <c r="F4" s="81" t="s">
        <v>129</v>
      </c>
      <c r="G4" s="81" t="s">
        <v>129</v>
      </c>
    </row>
    <row r="5" spans="1:8">
      <c r="A5" s="81" t="s">
        <v>130</v>
      </c>
      <c r="B5" s="81" t="s">
        <v>128</v>
      </c>
      <c r="C5" s="81">
        <v>0.96</v>
      </c>
      <c r="D5" s="81">
        <v>1.91</v>
      </c>
      <c r="E5" s="81" t="s">
        <v>129</v>
      </c>
      <c r="F5" s="81" t="s">
        <v>129</v>
      </c>
      <c r="G5" s="81" t="s">
        <v>129</v>
      </c>
    </row>
    <row r="6" spans="1:8">
      <c r="A6" s="81" t="s">
        <v>131</v>
      </c>
      <c r="B6" s="81" t="s">
        <v>128</v>
      </c>
      <c r="C6" s="81">
        <v>0.94</v>
      </c>
      <c r="D6" s="81">
        <v>1.89</v>
      </c>
      <c r="E6" s="81" t="s">
        <v>129</v>
      </c>
      <c r="F6" s="81" t="s">
        <v>129</v>
      </c>
      <c r="G6" s="81" t="s">
        <v>129</v>
      </c>
    </row>
    <row r="7" spans="1:8">
      <c r="A7" s="81" t="s">
        <v>132</v>
      </c>
      <c r="B7" s="81" t="s">
        <v>128</v>
      </c>
      <c r="C7" s="81">
        <v>0.91</v>
      </c>
      <c r="D7" s="81">
        <v>1.81</v>
      </c>
      <c r="E7" s="81" t="s">
        <v>129</v>
      </c>
      <c r="F7" s="81" t="s">
        <v>129</v>
      </c>
      <c r="G7" s="81" t="s">
        <v>129</v>
      </c>
    </row>
    <row r="8" spans="1:8">
      <c r="A8" s="81" t="s">
        <v>133</v>
      </c>
      <c r="B8" s="81" t="s">
        <v>128</v>
      </c>
      <c r="C8" s="81">
        <v>0.9</v>
      </c>
      <c r="D8" s="81">
        <v>1.79</v>
      </c>
      <c r="E8" s="81" t="s">
        <v>129</v>
      </c>
      <c r="F8" s="81" t="s">
        <v>129</v>
      </c>
      <c r="G8" s="81" t="s">
        <v>129</v>
      </c>
    </row>
    <row r="9" spans="1:8">
      <c r="A9" s="81" t="s">
        <v>134</v>
      </c>
      <c r="B9" s="81" t="s">
        <v>128</v>
      </c>
      <c r="C9" s="81">
        <v>0.91</v>
      </c>
      <c r="D9" s="81">
        <v>1.82</v>
      </c>
      <c r="E9" s="81" t="s">
        <v>129</v>
      </c>
      <c r="F9" s="81" t="s">
        <v>129</v>
      </c>
      <c r="G9" s="81" t="s">
        <v>129</v>
      </c>
    </row>
    <row r="10" spans="1:8">
      <c r="A10" s="81" t="s">
        <v>135</v>
      </c>
      <c r="B10" s="81" t="s">
        <v>128</v>
      </c>
      <c r="C10" s="81">
        <v>0.91</v>
      </c>
      <c r="D10" s="81">
        <v>1.82</v>
      </c>
      <c r="E10" s="81" t="s">
        <v>129</v>
      </c>
      <c r="F10" s="81" t="s">
        <v>129</v>
      </c>
      <c r="G10" s="81" t="s">
        <v>129</v>
      </c>
    </row>
    <row r="11" spans="1:8">
      <c r="A11" s="81" t="s">
        <v>136</v>
      </c>
      <c r="B11" s="81" t="s">
        <v>128</v>
      </c>
      <c r="C11" s="81">
        <v>0.9</v>
      </c>
      <c r="D11" s="81">
        <v>1.8</v>
      </c>
      <c r="E11" s="81" t="s">
        <v>129</v>
      </c>
      <c r="F11" s="81" t="s">
        <v>129</v>
      </c>
      <c r="G11" s="81" t="s">
        <v>129</v>
      </c>
    </row>
    <row r="12" spans="1:8">
      <c r="A12" s="81" t="s">
        <v>137</v>
      </c>
      <c r="B12" s="81" t="s">
        <v>138</v>
      </c>
      <c r="C12" s="81" t="s">
        <v>139</v>
      </c>
      <c r="D12" s="81" t="s">
        <v>140</v>
      </c>
      <c r="E12" s="81" t="s">
        <v>141</v>
      </c>
      <c r="F12" s="81" t="s">
        <v>129</v>
      </c>
      <c r="G12" s="81" t="s">
        <v>129</v>
      </c>
    </row>
    <row r="13" spans="1:8">
      <c r="A13" s="81" t="s">
        <v>121</v>
      </c>
      <c r="B13" s="81">
        <v>0.92</v>
      </c>
      <c r="C13" s="81">
        <v>0.02</v>
      </c>
      <c r="D13" s="81">
        <v>0.9</v>
      </c>
      <c r="E13" s="81">
        <v>0.96</v>
      </c>
      <c r="F13" s="81" t="s">
        <v>129</v>
      </c>
      <c r="G13" s="81" t="s">
        <v>129</v>
      </c>
    </row>
    <row r="14" spans="1:8">
      <c r="A14" s="81" t="s">
        <v>122</v>
      </c>
      <c r="B14" s="81">
        <v>1.83</v>
      </c>
      <c r="C14" s="81">
        <v>0.04</v>
      </c>
      <c r="D14" s="81">
        <v>1.79</v>
      </c>
      <c r="E14" s="81">
        <v>1.91</v>
      </c>
    </row>
    <row r="18" spans="1:8" ht="15">
      <c r="A18" s="82" t="s">
        <v>142</v>
      </c>
      <c r="B18" s="82">
        <v>1440</v>
      </c>
    </row>
    <row r="19" spans="1:8">
      <c r="A19" s="81" t="s">
        <v>119</v>
      </c>
      <c r="B19" s="81" t="s">
        <v>120</v>
      </c>
      <c r="C19" s="81" t="s">
        <v>121</v>
      </c>
      <c r="D19" s="81" t="s">
        <v>122</v>
      </c>
      <c r="E19" s="81" t="s">
        <v>123</v>
      </c>
      <c r="F19" s="81" t="s">
        <v>124</v>
      </c>
      <c r="G19" s="81" t="s">
        <v>125</v>
      </c>
      <c r="H19" s="81" t="s">
        <v>126</v>
      </c>
    </row>
    <row r="20" spans="1:8">
      <c r="A20" s="81" t="s">
        <v>127</v>
      </c>
      <c r="B20" s="81" t="s">
        <v>143</v>
      </c>
      <c r="C20" s="81">
        <v>1.1599999999999999</v>
      </c>
      <c r="D20" s="81">
        <v>2.31</v>
      </c>
      <c r="E20" s="81" t="s">
        <v>129</v>
      </c>
      <c r="F20" s="81" t="s">
        <v>129</v>
      </c>
      <c r="G20" s="81" t="s">
        <v>129</v>
      </c>
    </row>
    <row r="21" spans="1:8">
      <c r="A21" s="81" t="s">
        <v>130</v>
      </c>
      <c r="B21" s="81" t="s">
        <v>143</v>
      </c>
      <c r="C21" s="81">
        <v>1.18</v>
      </c>
      <c r="D21" s="81">
        <v>2.37</v>
      </c>
      <c r="E21" s="81" t="s">
        <v>129</v>
      </c>
      <c r="F21" s="81" t="s">
        <v>129</v>
      </c>
      <c r="G21" s="81" t="s">
        <v>129</v>
      </c>
    </row>
    <row r="22" spans="1:8">
      <c r="A22" s="81" t="s">
        <v>131</v>
      </c>
      <c r="B22" s="81" t="s">
        <v>143</v>
      </c>
      <c r="C22" s="81">
        <v>1.1200000000000001</v>
      </c>
      <c r="D22" s="81">
        <v>2.2400000000000002</v>
      </c>
      <c r="E22" s="81" t="s">
        <v>129</v>
      </c>
      <c r="F22" s="81" t="s">
        <v>129</v>
      </c>
      <c r="G22" s="81" t="s">
        <v>129</v>
      </c>
    </row>
    <row r="23" spans="1:8">
      <c r="A23" s="81" t="s">
        <v>132</v>
      </c>
      <c r="B23" s="81" t="s">
        <v>143</v>
      </c>
      <c r="C23" s="81">
        <v>1.1599999999999999</v>
      </c>
      <c r="D23" s="81">
        <v>2.31</v>
      </c>
      <c r="E23" s="81" t="s">
        <v>129</v>
      </c>
      <c r="F23" s="81" t="s">
        <v>129</v>
      </c>
      <c r="G23" s="81" t="s">
        <v>129</v>
      </c>
    </row>
    <row r="24" spans="1:8">
      <c r="A24" s="81" t="s">
        <v>133</v>
      </c>
      <c r="B24" s="81" t="s">
        <v>143</v>
      </c>
      <c r="C24" s="81">
        <v>1</v>
      </c>
      <c r="D24" s="81">
        <v>2.0099999999999998</v>
      </c>
      <c r="E24" s="81" t="s">
        <v>129</v>
      </c>
      <c r="F24" s="81" t="s">
        <v>129</v>
      </c>
      <c r="G24" s="81" t="s">
        <v>129</v>
      </c>
    </row>
    <row r="25" spans="1:8">
      <c r="A25" s="81" t="s">
        <v>134</v>
      </c>
      <c r="B25" s="81" t="s">
        <v>143</v>
      </c>
      <c r="C25" s="81">
        <v>1.08</v>
      </c>
      <c r="D25" s="81">
        <v>2.16</v>
      </c>
      <c r="E25" s="81" t="s">
        <v>129</v>
      </c>
      <c r="F25" s="81" t="s">
        <v>129</v>
      </c>
      <c r="G25" s="81" t="s">
        <v>129</v>
      </c>
    </row>
    <row r="26" spans="1:8">
      <c r="A26" s="81" t="s">
        <v>135</v>
      </c>
      <c r="B26" s="81" t="s">
        <v>143</v>
      </c>
      <c r="C26" s="81">
        <v>1.04</v>
      </c>
      <c r="D26" s="81">
        <v>2.08</v>
      </c>
      <c r="E26" s="81" t="s">
        <v>129</v>
      </c>
      <c r="F26" s="81" t="s">
        <v>129</v>
      </c>
      <c r="G26" s="81" t="s">
        <v>129</v>
      </c>
    </row>
    <row r="27" spans="1:8">
      <c r="A27" s="81" t="s">
        <v>136</v>
      </c>
      <c r="B27" s="81" t="s">
        <v>143</v>
      </c>
      <c r="C27" s="81">
        <v>1.1299999999999999</v>
      </c>
      <c r="D27" s="81">
        <v>2.25</v>
      </c>
      <c r="E27" s="81" t="s">
        <v>129</v>
      </c>
      <c r="F27" s="81" t="s">
        <v>129</v>
      </c>
      <c r="G27" s="81" t="s">
        <v>129</v>
      </c>
    </row>
    <row r="28" spans="1:8">
      <c r="A28" s="81" t="s">
        <v>137</v>
      </c>
      <c r="B28" s="81" t="s">
        <v>138</v>
      </c>
      <c r="C28" s="81" t="s">
        <v>139</v>
      </c>
      <c r="D28" s="81" t="s">
        <v>140</v>
      </c>
      <c r="E28" s="81" t="s">
        <v>141</v>
      </c>
    </row>
    <row r="29" spans="1:8">
      <c r="A29" s="81" t="s">
        <v>121</v>
      </c>
      <c r="B29" s="81">
        <v>1.1100000000000001</v>
      </c>
      <c r="C29" s="81">
        <v>0.06</v>
      </c>
      <c r="D29" s="81">
        <v>1</v>
      </c>
      <c r="E29" s="81">
        <v>1.18</v>
      </c>
    </row>
    <row r="30" spans="1:8">
      <c r="A30" s="81" t="s">
        <v>122</v>
      </c>
      <c r="B30" s="81">
        <v>2.2200000000000002</v>
      </c>
      <c r="C30" s="81">
        <v>0.12</v>
      </c>
      <c r="D30" s="81">
        <v>2.0099999999999998</v>
      </c>
      <c r="E30" s="81">
        <v>2.37</v>
      </c>
    </row>
    <row r="32" spans="1:8" ht="15">
      <c r="A32" s="82" t="s">
        <v>142</v>
      </c>
      <c r="B32" s="82">
        <v>1540</v>
      </c>
    </row>
    <row r="33" spans="1:8">
      <c r="A33" s="81" t="s">
        <v>119</v>
      </c>
      <c r="B33" s="81" t="s">
        <v>120</v>
      </c>
      <c r="C33" s="81" t="s">
        <v>121</v>
      </c>
      <c r="D33" s="81" t="s">
        <v>122</v>
      </c>
      <c r="E33" s="81" t="s">
        <v>123</v>
      </c>
      <c r="F33" s="81" t="s">
        <v>124</v>
      </c>
      <c r="G33" s="81" t="s">
        <v>125</v>
      </c>
      <c r="H33" s="81" t="s">
        <v>126</v>
      </c>
    </row>
    <row r="34" spans="1:8">
      <c r="A34" s="81" t="s">
        <v>127</v>
      </c>
      <c r="B34" s="81" t="s">
        <v>144</v>
      </c>
      <c r="C34" s="81">
        <v>1.1100000000000001</v>
      </c>
      <c r="D34" s="81">
        <v>2.2200000000000002</v>
      </c>
      <c r="E34" s="81" t="s">
        <v>129</v>
      </c>
      <c r="F34" s="81" t="s">
        <v>129</v>
      </c>
      <c r="G34" s="81" t="s">
        <v>129</v>
      </c>
    </row>
    <row r="35" spans="1:8">
      <c r="A35" s="81" t="s">
        <v>130</v>
      </c>
      <c r="B35" s="81" t="s">
        <v>144</v>
      </c>
      <c r="C35" s="81">
        <v>1.1200000000000001</v>
      </c>
      <c r="D35" s="81">
        <v>2.23</v>
      </c>
      <c r="E35" s="81" t="s">
        <v>129</v>
      </c>
      <c r="F35" s="81" t="s">
        <v>129</v>
      </c>
      <c r="G35" s="81" t="s">
        <v>129</v>
      </c>
    </row>
    <row r="36" spans="1:8">
      <c r="A36" s="81" t="s">
        <v>131</v>
      </c>
      <c r="B36" s="81" t="s">
        <v>144</v>
      </c>
      <c r="C36" s="81">
        <v>1.1299999999999999</v>
      </c>
      <c r="D36" s="81">
        <v>2.2599999999999998</v>
      </c>
      <c r="E36" s="81" t="s">
        <v>129</v>
      </c>
      <c r="F36" s="81" t="s">
        <v>129</v>
      </c>
      <c r="G36" s="81" t="s">
        <v>129</v>
      </c>
    </row>
    <row r="37" spans="1:8">
      <c r="A37" s="81" t="s">
        <v>132</v>
      </c>
      <c r="B37" s="81" t="s">
        <v>144</v>
      </c>
      <c r="C37" s="81">
        <v>1.19</v>
      </c>
      <c r="D37" s="81">
        <v>2.39</v>
      </c>
      <c r="E37" s="81" t="s">
        <v>129</v>
      </c>
      <c r="F37" s="81" t="s">
        <v>129</v>
      </c>
      <c r="G37" s="81" t="s">
        <v>129</v>
      </c>
    </row>
    <row r="38" spans="1:8">
      <c r="A38" s="81" t="s">
        <v>133</v>
      </c>
      <c r="B38" s="81" t="s">
        <v>144</v>
      </c>
      <c r="C38" s="81">
        <v>1.1399999999999999</v>
      </c>
      <c r="D38" s="81">
        <v>2.27</v>
      </c>
      <c r="E38" s="81" t="s">
        <v>129</v>
      </c>
      <c r="F38" s="81" t="s">
        <v>129</v>
      </c>
      <c r="G38" s="81" t="s">
        <v>129</v>
      </c>
    </row>
    <row r="39" spans="1:8">
      <c r="A39" s="81" t="s">
        <v>134</v>
      </c>
      <c r="B39" s="81" t="s">
        <v>144</v>
      </c>
      <c r="C39" s="81">
        <v>1.1200000000000001</v>
      </c>
      <c r="D39" s="81">
        <v>2.2400000000000002</v>
      </c>
      <c r="E39" s="81" t="s">
        <v>129</v>
      </c>
      <c r="F39" s="81" t="s">
        <v>129</v>
      </c>
      <c r="G39" s="81" t="s">
        <v>129</v>
      </c>
    </row>
    <row r="40" spans="1:8">
      <c r="A40" s="81" t="s">
        <v>135</v>
      </c>
      <c r="B40" s="81" t="s">
        <v>144</v>
      </c>
      <c r="C40" s="81">
        <v>1.18</v>
      </c>
      <c r="D40" s="81">
        <v>2.37</v>
      </c>
      <c r="E40" s="81" t="s">
        <v>129</v>
      </c>
      <c r="F40" s="81" t="s">
        <v>129</v>
      </c>
      <c r="G40" s="81" t="s">
        <v>129</v>
      </c>
    </row>
    <row r="41" spans="1:8">
      <c r="A41" s="81" t="s">
        <v>136</v>
      </c>
      <c r="B41" s="81" t="s">
        <v>144</v>
      </c>
      <c r="C41" s="81">
        <v>1.18</v>
      </c>
      <c r="D41" s="81">
        <v>2.36</v>
      </c>
      <c r="E41" s="81" t="s">
        <v>129</v>
      </c>
      <c r="F41" s="81" t="s">
        <v>129</v>
      </c>
      <c r="G41" s="81" t="s">
        <v>129</v>
      </c>
    </row>
    <row r="42" spans="1:8">
      <c r="A42" s="81" t="s">
        <v>137</v>
      </c>
      <c r="B42" s="81" t="s">
        <v>138</v>
      </c>
      <c r="C42" s="81" t="s">
        <v>139</v>
      </c>
      <c r="D42" s="81" t="s">
        <v>140</v>
      </c>
      <c r="E42" s="81" t="s">
        <v>141</v>
      </c>
    </row>
    <row r="43" spans="1:8">
      <c r="A43" s="81" t="s">
        <v>121</v>
      </c>
      <c r="B43" s="81">
        <v>1.1499999999999999</v>
      </c>
      <c r="C43" s="81">
        <v>0.03</v>
      </c>
      <c r="D43" s="81">
        <v>1.1100000000000001</v>
      </c>
      <c r="E43" s="81">
        <v>1.19</v>
      </c>
    </row>
    <row r="44" spans="1:8">
      <c r="A44" s="81" t="s">
        <v>122</v>
      </c>
      <c r="B44" s="81">
        <v>2.29</v>
      </c>
      <c r="C44" s="81">
        <v>0.06</v>
      </c>
      <c r="D44" s="81">
        <v>2.2200000000000002</v>
      </c>
      <c r="E44" s="81">
        <v>2.39</v>
      </c>
    </row>
    <row r="46" spans="1:8" ht="15">
      <c r="A46" s="82" t="s">
        <v>118</v>
      </c>
      <c r="B46" s="82">
        <v>1440</v>
      </c>
    </row>
    <row r="47" spans="1:8">
      <c r="A47" s="81" t="s">
        <v>119</v>
      </c>
      <c r="B47" s="81" t="s">
        <v>120</v>
      </c>
      <c r="C47" s="81" t="s">
        <v>121</v>
      </c>
      <c r="D47" s="81" t="s">
        <v>122</v>
      </c>
      <c r="E47" s="81" t="s">
        <v>123</v>
      </c>
      <c r="F47" s="81" t="s">
        <v>124</v>
      </c>
      <c r="G47" s="81" t="s">
        <v>125</v>
      </c>
      <c r="H47" s="81" t="s">
        <v>126</v>
      </c>
    </row>
    <row r="48" spans="1:8">
      <c r="A48" s="81" t="s">
        <v>127</v>
      </c>
      <c r="B48" s="81" t="s">
        <v>145</v>
      </c>
      <c r="C48" s="81">
        <v>0.93</v>
      </c>
      <c r="D48" s="81">
        <v>1.87</v>
      </c>
      <c r="E48" s="81" t="s">
        <v>129</v>
      </c>
      <c r="F48" s="81" t="s">
        <v>129</v>
      </c>
      <c r="G48" s="81" t="s">
        <v>129</v>
      </c>
    </row>
    <row r="49" spans="1:8">
      <c r="A49" s="81" t="s">
        <v>131</v>
      </c>
      <c r="B49" s="81" t="s">
        <v>145</v>
      </c>
      <c r="C49" s="81">
        <v>0.93</v>
      </c>
      <c r="D49" s="81">
        <v>1.86</v>
      </c>
      <c r="E49" s="81" t="s">
        <v>129</v>
      </c>
      <c r="F49" s="81" t="s">
        <v>129</v>
      </c>
      <c r="G49" s="81" t="s">
        <v>129</v>
      </c>
    </row>
    <row r="50" spans="1:8">
      <c r="A50" s="81" t="s">
        <v>132</v>
      </c>
      <c r="B50" s="81" t="s">
        <v>145</v>
      </c>
      <c r="C50" s="81">
        <v>0.93</v>
      </c>
      <c r="D50" s="81">
        <v>1.86</v>
      </c>
      <c r="E50" s="81" t="s">
        <v>129</v>
      </c>
      <c r="F50" s="81" t="s">
        <v>129</v>
      </c>
      <c r="G50" s="81" t="s">
        <v>129</v>
      </c>
    </row>
    <row r="51" spans="1:8">
      <c r="A51" s="81" t="s">
        <v>130</v>
      </c>
      <c r="B51" s="81" t="s">
        <v>145</v>
      </c>
      <c r="C51" s="81">
        <v>0.92</v>
      </c>
      <c r="D51" s="81">
        <v>1.84</v>
      </c>
      <c r="E51" s="81" t="s">
        <v>129</v>
      </c>
      <c r="F51" s="81" t="s">
        <v>129</v>
      </c>
      <c r="G51" s="81" t="s">
        <v>129</v>
      </c>
    </row>
    <row r="52" spans="1:8">
      <c r="A52" s="81" t="s">
        <v>134</v>
      </c>
      <c r="B52" s="81" t="s">
        <v>145</v>
      </c>
      <c r="C52" s="81">
        <v>0.91</v>
      </c>
      <c r="D52" s="81">
        <v>1.82</v>
      </c>
      <c r="E52" s="81" t="s">
        <v>129</v>
      </c>
      <c r="F52" s="81" t="s">
        <v>129</v>
      </c>
      <c r="G52" s="81" t="s">
        <v>129</v>
      </c>
    </row>
    <row r="53" spans="1:8">
      <c r="A53" s="81" t="s">
        <v>133</v>
      </c>
      <c r="B53" s="81" t="s">
        <v>145</v>
      </c>
      <c r="C53" s="81">
        <v>0.87</v>
      </c>
      <c r="D53" s="81">
        <v>1.74</v>
      </c>
      <c r="E53" s="81" t="s">
        <v>129</v>
      </c>
      <c r="F53" s="81" t="s">
        <v>129</v>
      </c>
      <c r="G53" s="81" t="s">
        <v>129</v>
      </c>
    </row>
    <row r="54" spans="1:8">
      <c r="A54" s="81" t="s">
        <v>136</v>
      </c>
      <c r="B54" s="81" t="s">
        <v>145</v>
      </c>
      <c r="C54" s="81">
        <v>0.87</v>
      </c>
      <c r="D54" s="81">
        <v>1.73</v>
      </c>
      <c r="E54" s="81" t="s">
        <v>129</v>
      </c>
      <c r="F54" s="81" t="s">
        <v>129</v>
      </c>
      <c r="G54" s="81" t="s">
        <v>129</v>
      </c>
    </row>
    <row r="55" spans="1:8">
      <c r="A55" s="81" t="s">
        <v>135</v>
      </c>
      <c r="B55" s="81" t="s">
        <v>145</v>
      </c>
      <c r="C55" s="81">
        <v>0.86</v>
      </c>
      <c r="D55" s="81">
        <v>1.71</v>
      </c>
      <c r="E55" s="81" t="s">
        <v>129</v>
      </c>
      <c r="F55" s="81" t="s">
        <v>129</v>
      </c>
      <c r="G55" s="81" t="s">
        <v>129</v>
      </c>
    </row>
    <row r="56" spans="1:8">
      <c r="A56" s="81" t="s">
        <v>137</v>
      </c>
      <c r="B56" s="81" t="s">
        <v>138</v>
      </c>
      <c r="C56" s="81" t="s">
        <v>139</v>
      </c>
      <c r="D56" s="81" t="s">
        <v>140</v>
      </c>
      <c r="E56" s="81" t="s">
        <v>141</v>
      </c>
    </row>
    <row r="57" spans="1:8">
      <c r="A57" s="81" t="s">
        <v>121</v>
      </c>
      <c r="B57" s="81">
        <v>0.9</v>
      </c>
      <c r="C57" s="81">
        <v>0.03</v>
      </c>
      <c r="D57" s="81">
        <v>0.86</v>
      </c>
      <c r="E57" s="81">
        <v>0.93</v>
      </c>
    </row>
    <row r="58" spans="1:8">
      <c r="A58" s="81" t="s">
        <v>122</v>
      </c>
      <c r="B58" s="81">
        <v>1.8</v>
      </c>
      <c r="C58" s="81">
        <v>0.06</v>
      </c>
      <c r="D58" s="81">
        <v>1.71</v>
      </c>
      <c r="E58" s="81">
        <v>1.87</v>
      </c>
    </row>
    <row r="60" spans="1:8" ht="15">
      <c r="A60" s="82" t="s">
        <v>142</v>
      </c>
      <c r="B60" s="82">
        <v>1340</v>
      </c>
    </row>
    <row r="61" spans="1:8">
      <c r="A61" s="81" t="s">
        <v>119</v>
      </c>
      <c r="B61" s="81" t="s">
        <v>120</v>
      </c>
      <c r="C61" s="81" t="s">
        <v>121</v>
      </c>
      <c r="D61" s="81" t="s">
        <v>122</v>
      </c>
      <c r="E61" s="81" t="s">
        <v>123</v>
      </c>
      <c r="F61" s="81" t="s">
        <v>124</v>
      </c>
      <c r="G61" s="81" t="s">
        <v>125</v>
      </c>
      <c r="H61" s="81" t="s">
        <v>126</v>
      </c>
    </row>
    <row r="62" spans="1:8">
      <c r="A62" s="81" t="s">
        <v>127</v>
      </c>
      <c r="B62" s="81" t="s">
        <v>146</v>
      </c>
      <c r="C62" s="81">
        <v>1.22</v>
      </c>
      <c r="D62" s="81">
        <v>2.44</v>
      </c>
      <c r="E62" s="81" t="s">
        <v>129</v>
      </c>
      <c r="F62" s="81" t="s">
        <v>129</v>
      </c>
      <c r="G62" s="81" t="s">
        <v>129</v>
      </c>
    </row>
    <row r="63" spans="1:8">
      <c r="A63" s="81" t="s">
        <v>130</v>
      </c>
      <c r="B63" s="81" t="s">
        <v>146</v>
      </c>
      <c r="C63" s="81">
        <v>1.21</v>
      </c>
      <c r="D63" s="81">
        <v>2.4300000000000002</v>
      </c>
      <c r="E63" s="81" t="s">
        <v>129</v>
      </c>
      <c r="F63" s="81" t="s">
        <v>129</v>
      </c>
      <c r="G63" s="81" t="s">
        <v>129</v>
      </c>
    </row>
    <row r="64" spans="1:8">
      <c r="A64" s="81" t="s">
        <v>131</v>
      </c>
      <c r="B64" s="81" t="s">
        <v>146</v>
      </c>
      <c r="C64" s="81">
        <v>1.2</v>
      </c>
      <c r="D64" s="81">
        <v>2.41</v>
      </c>
      <c r="E64" s="81" t="s">
        <v>129</v>
      </c>
      <c r="F64" s="81" t="s">
        <v>129</v>
      </c>
      <c r="G64" s="81" t="s">
        <v>129</v>
      </c>
    </row>
    <row r="65" spans="1:7">
      <c r="A65" s="81" t="s">
        <v>132</v>
      </c>
      <c r="B65" s="81" t="s">
        <v>146</v>
      </c>
      <c r="C65" s="81">
        <v>1.23</v>
      </c>
      <c r="D65" s="81">
        <v>2.4500000000000002</v>
      </c>
      <c r="E65" s="81" t="s">
        <v>129</v>
      </c>
      <c r="F65" s="81" t="s">
        <v>129</v>
      </c>
      <c r="G65" s="81" t="s">
        <v>129</v>
      </c>
    </row>
    <row r="66" spans="1:7">
      <c r="A66" s="81" t="s">
        <v>133</v>
      </c>
      <c r="B66" s="81" t="s">
        <v>146</v>
      </c>
      <c r="C66" s="81">
        <v>1.2</v>
      </c>
      <c r="D66" s="81">
        <v>2.4</v>
      </c>
      <c r="E66" s="81" t="s">
        <v>129</v>
      </c>
      <c r="F66" s="81" t="s">
        <v>129</v>
      </c>
      <c r="G66" s="81" t="s">
        <v>129</v>
      </c>
    </row>
    <row r="67" spans="1:7">
      <c r="A67" s="81" t="s">
        <v>134</v>
      </c>
      <c r="B67" s="81" t="s">
        <v>146</v>
      </c>
      <c r="C67" s="81">
        <v>1.2</v>
      </c>
      <c r="D67" s="81">
        <v>2.4</v>
      </c>
      <c r="E67" s="81" t="s">
        <v>129</v>
      </c>
      <c r="F67" s="81" t="s">
        <v>129</v>
      </c>
      <c r="G67" s="81" t="s">
        <v>129</v>
      </c>
    </row>
    <row r="68" spans="1:7">
      <c r="A68" s="81" t="s">
        <v>135</v>
      </c>
      <c r="B68" s="81" t="s">
        <v>146</v>
      </c>
      <c r="C68" s="81">
        <v>1.22</v>
      </c>
      <c r="D68" s="81">
        <v>2.4300000000000002</v>
      </c>
      <c r="E68" s="81" t="s">
        <v>129</v>
      </c>
      <c r="F68" s="81" t="s">
        <v>129</v>
      </c>
      <c r="G68" s="81" t="s">
        <v>129</v>
      </c>
    </row>
    <row r="69" spans="1:7">
      <c r="A69" s="81" t="s">
        <v>136</v>
      </c>
      <c r="B69" s="81" t="s">
        <v>146</v>
      </c>
      <c r="C69" s="81">
        <v>1.2</v>
      </c>
      <c r="D69" s="81">
        <v>2.4</v>
      </c>
      <c r="E69" s="81" t="s">
        <v>129</v>
      </c>
      <c r="F69" s="81" t="s">
        <v>129</v>
      </c>
      <c r="G69" s="81" t="s">
        <v>129</v>
      </c>
    </row>
    <row r="71" spans="1:7">
      <c r="A71" s="81" t="s">
        <v>137</v>
      </c>
      <c r="B71" s="81" t="s">
        <v>138</v>
      </c>
      <c r="C71" s="81" t="s">
        <v>139</v>
      </c>
      <c r="D71" s="81" t="s">
        <v>140</v>
      </c>
      <c r="E71" s="81" t="s">
        <v>141</v>
      </c>
    </row>
    <row r="72" spans="1:7">
      <c r="A72" s="81" t="s">
        <v>121</v>
      </c>
      <c r="B72" s="81">
        <v>1.21</v>
      </c>
      <c r="C72" s="81">
        <v>0.01</v>
      </c>
      <c r="D72" s="81">
        <v>1.2</v>
      </c>
      <c r="E72" s="81">
        <v>1.23</v>
      </c>
    </row>
    <row r="73" spans="1:7">
      <c r="A73" s="81" t="s">
        <v>122</v>
      </c>
      <c r="B73" s="81">
        <v>2.42</v>
      </c>
      <c r="C73" s="81">
        <v>0.02</v>
      </c>
      <c r="D73" s="81">
        <v>2.4</v>
      </c>
      <c r="E73" s="81">
        <v>2.4500000000000002</v>
      </c>
    </row>
    <row r="75" spans="1:7" ht="15">
      <c r="A75" s="82" t="s">
        <v>118</v>
      </c>
      <c r="B75" s="82">
        <v>1340</v>
      </c>
    </row>
    <row r="76" spans="1:7">
      <c r="A76" s="81" t="s">
        <v>127</v>
      </c>
      <c r="B76" s="81" t="s">
        <v>147</v>
      </c>
      <c r="C76" s="81">
        <v>0.92</v>
      </c>
      <c r="D76" s="81">
        <v>1.85</v>
      </c>
      <c r="E76" s="81" t="s">
        <v>129</v>
      </c>
      <c r="F76" s="81" t="s">
        <v>129</v>
      </c>
      <c r="G76" s="81" t="s">
        <v>129</v>
      </c>
    </row>
    <row r="77" spans="1:7">
      <c r="A77" s="81" t="s">
        <v>130</v>
      </c>
      <c r="B77" s="81" t="s">
        <v>147</v>
      </c>
      <c r="C77" s="81">
        <v>0.93</v>
      </c>
      <c r="D77" s="81">
        <v>1.87</v>
      </c>
      <c r="E77" s="81" t="s">
        <v>129</v>
      </c>
      <c r="F77" s="81" t="s">
        <v>129</v>
      </c>
      <c r="G77" s="81" t="s">
        <v>129</v>
      </c>
    </row>
    <row r="78" spans="1:7">
      <c r="A78" s="81" t="s">
        <v>131</v>
      </c>
      <c r="B78" s="81" t="s">
        <v>147</v>
      </c>
      <c r="C78" s="81">
        <v>0.93</v>
      </c>
      <c r="D78" s="81">
        <v>1.86</v>
      </c>
      <c r="E78" s="81" t="s">
        <v>129</v>
      </c>
      <c r="F78" s="81" t="s">
        <v>129</v>
      </c>
      <c r="G78" s="81" t="s">
        <v>129</v>
      </c>
    </row>
    <row r="79" spans="1:7">
      <c r="A79" s="81" t="s">
        <v>132</v>
      </c>
      <c r="B79" s="81" t="s">
        <v>147</v>
      </c>
      <c r="C79" s="81">
        <v>0.95</v>
      </c>
      <c r="D79" s="81">
        <v>1.9</v>
      </c>
      <c r="E79" s="81" t="s">
        <v>129</v>
      </c>
      <c r="F79" s="81" t="s">
        <v>129</v>
      </c>
      <c r="G79" s="81" t="s">
        <v>129</v>
      </c>
    </row>
    <row r="80" spans="1:7">
      <c r="A80" s="81" t="s">
        <v>133</v>
      </c>
      <c r="B80" s="81" t="s">
        <v>147</v>
      </c>
      <c r="C80" s="81">
        <v>0.96</v>
      </c>
      <c r="D80" s="81">
        <v>1.93</v>
      </c>
      <c r="E80" s="81" t="s">
        <v>129</v>
      </c>
      <c r="F80" s="81" t="s">
        <v>129</v>
      </c>
      <c r="G80" s="81" t="s">
        <v>129</v>
      </c>
    </row>
    <row r="81" spans="1:8">
      <c r="A81" s="81" t="s">
        <v>134</v>
      </c>
      <c r="B81" s="81" t="s">
        <v>147</v>
      </c>
      <c r="C81" s="81">
        <v>0.95</v>
      </c>
      <c r="D81" s="81">
        <v>1.9</v>
      </c>
      <c r="E81" s="81" t="s">
        <v>129</v>
      </c>
      <c r="F81" s="81" t="s">
        <v>129</v>
      </c>
      <c r="G81" s="81" t="s">
        <v>129</v>
      </c>
    </row>
    <row r="82" spans="1:8">
      <c r="A82" s="81" t="s">
        <v>135</v>
      </c>
      <c r="B82" s="81" t="s">
        <v>147</v>
      </c>
      <c r="C82" s="81">
        <v>0.96</v>
      </c>
      <c r="D82" s="81">
        <v>1.93</v>
      </c>
      <c r="E82" s="81" t="s">
        <v>129</v>
      </c>
      <c r="F82" s="81" t="s">
        <v>129</v>
      </c>
      <c r="G82" s="81" t="s">
        <v>129</v>
      </c>
    </row>
    <row r="83" spans="1:8">
      <c r="A83" s="81" t="s">
        <v>136</v>
      </c>
      <c r="B83" s="81" t="s">
        <v>147</v>
      </c>
      <c r="C83" s="81">
        <v>0.96</v>
      </c>
      <c r="D83" s="81">
        <v>1.92</v>
      </c>
      <c r="E83" s="81" t="s">
        <v>129</v>
      </c>
      <c r="F83" s="81" t="s">
        <v>129</v>
      </c>
      <c r="G83" s="81" t="s">
        <v>129</v>
      </c>
    </row>
    <row r="84" spans="1:8">
      <c r="A84" s="81" t="s">
        <v>119</v>
      </c>
      <c r="B84" s="81" t="s">
        <v>120</v>
      </c>
      <c r="C84" s="81" t="s">
        <v>121</v>
      </c>
      <c r="D84" s="81" t="s">
        <v>122</v>
      </c>
      <c r="E84" s="81" t="s">
        <v>123</v>
      </c>
      <c r="F84" s="81" t="s">
        <v>124</v>
      </c>
      <c r="G84" s="81" t="s">
        <v>125</v>
      </c>
      <c r="H84" s="81" t="s">
        <v>126</v>
      </c>
    </row>
    <row r="85" spans="1:8">
      <c r="A85" s="81" t="s">
        <v>137</v>
      </c>
      <c r="B85" s="81" t="s">
        <v>138</v>
      </c>
      <c r="C85" s="81" t="s">
        <v>139</v>
      </c>
      <c r="D85" s="81" t="s">
        <v>140</v>
      </c>
      <c r="E85" s="81" t="s">
        <v>141</v>
      </c>
    </row>
    <row r="86" spans="1:8">
      <c r="A86" s="81" t="s">
        <v>121</v>
      </c>
      <c r="B86" s="81">
        <v>0.99</v>
      </c>
      <c r="C86" s="81">
        <v>0.11</v>
      </c>
      <c r="D86" s="81">
        <v>0.92</v>
      </c>
      <c r="E86" s="81">
        <v>1.3</v>
      </c>
    </row>
    <row r="87" spans="1:8">
      <c r="A87" s="81" t="s">
        <v>122</v>
      </c>
      <c r="B87" s="81">
        <v>1.97</v>
      </c>
      <c r="C87" s="81">
        <v>0.22</v>
      </c>
      <c r="D87" s="81">
        <v>1.85</v>
      </c>
      <c r="E87" s="81">
        <v>2.6</v>
      </c>
    </row>
  </sheetData>
  <pageMargins left="0" right="0" top="0.39409448818897636" bottom="0.39409448818897636" header="0" footer="0"/>
  <headerFooter>
    <oddHeader>&amp;C&amp;A</oddHeader>
    <oddFooter>&amp;CPage &amp;P</oddFooter>
  </headerFooter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15"/>
  <sheetViews>
    <sheetView workbookViewId="0">
      <selection activeCell="I26" sqref="I26"/>
    </sheetView>
  </sheetViews>
  <sheetFormatPr defaultRowHeight="14.25"/>
  <sheetData>
    <row r="2" spans="1:11">
      <c r="B2" t="s">
        <v>148</v>
      </c>
      <c r="J2" t="s">
        <v>149</v>
      </c>
    </row>
    <row r="3" spans="1:11">
      <c r="A3" t="s">
        <v>150</v>
      </c>
      <c r="J3">
        <v>1</v>
      </c>
      <c r="K3" t="s">
        <v>151</v>
      </c>
    </row>
    <row r="4" spans="1:11">
      <c r="C4" t="s">
        <v>152</v>
      </c>
      <c r="J4">
        <v>2</v>
      </c>
      <c r="K4" t="s">
        <v>153</v>
      </c>
    </row>
    <row r="5" spans="1:11">
      <c r="C5" t="s">
        <v>154</v>
      </c>
    </row>
    <row r="6" spans="1:11">
      <c r="C6" t="s">
        <v>155</v>
      </c>
      <c r="J6">
        <v>3</v>
      </c>
      <c r="K6" t="s">
        <v>156</v>
      </c>
    </row>
    <row r="7" spans="1:11">
      <c r="C7" t="s">
        <v>157</v>
      </c>
      <c r="J7">
        <v>4</v>
      </c>
      <c r="K7" t="s">
        <v>158</v>
      </c>
    </row>
    <row r="8" spans="1:11">
      <c r="C8" t="s">
        <v>159</v>
      </c>
      <c r="J8">
        <v>5</v>
      </c>
      <c r="K8" t="s">
        <v>160</v>
      </c>
    </row>
    <row r="9" spans="1:11">
      <c r="A9" t="s">
        <v>161</v>
      </c>
      <c r="J9">
        <v>6</v>
      </c>
      <c r="K9" t="s">
        <v>162</v>
      </c>
    </row>
    <row r="10" spans="1:11">
      <c r="C10" t="s">
        <v>163</v>
      </c>
      <c r="J10">
        <v>7</v>
      </c>
      <c r="K10" t="s">
        <v>164</v>
      </c>
    </row>
    <row r="11" spans="1:11">
      <c r="C11" t="s">
        <v>165</v>
      </c>
    </row>
    <row r="12" spans="1:11">
      <c r="C12" t="s">
        <v>166</v>
      </c>
      <c r="K12" t="s">
        <v>167</v>
      </c>
    </row>
    <row r="14" spans="1:11">
      <c r="A14" t="s">
        <v>168</v>
      </c>
      <c r="K14" t="s">
        <v>169</v>
      </c>
    </row>
    <row r="15" spans="1:11">
      <c r="K15" t="s">
        <v>170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G120"/>
  <sheetViews>
    <sheetView topLeftCell="A94" workbookViewId="0">
      <selection activeCell="B94" sqref="B1:C1048576"/>
    </sheetView>
  </sheetViews>
  <sheetFormatPr defaultRowHeight="14.25"/>
  <cols>
    <col min="3" max="3" width="10.375" style="199" bestFit="1" customWidth="1"/>
  </cols>
  <sheetData>
    <row r="1" spans="2:3">
      <c r="B1" t="s">
        <v>171</v>
      </c>
      <c r="C1" s="199" t="s">
        <v>172</v>
      </c>
    </row>
    <row r="2" spans="2:3">
      <c r="B2" t="s">
        <v>173</v>
      </c>
      <c r="C2" s="199" t="s">
        <v>174</v>
      </c>
    </row>
    <row r="3" spans="2:3">
      <c r="B3" t="s">
        <v>175</v>
      </c>
      <c r="C3" s="199" t="s">
        <v>176</v>
      </c>
    </row>
    <row r="4" spans="2:3">
      <c r="B4" t="s">
        <v>177</v>
      </c>
      <c r="C4" s="199" t="s">
        <v>178</v>
      </c>
    </row>
    <row r="5" spans="2:3">
      <c r="B5" t="s">
        <v>179</v>
      </c>
      <c r="C5" s="199" t="s">
        <v>180</v>
      </c>
    </row>
    <row r="6" spans="2:3">
      <c r="B6" t="s">
        <v>181</v>
      </c>
      <c r="C6" s="199" t="s">
        <v>182</v>
      </c>
    </row>
    <row r="7" spans="2:3">
      <c r="B7" t="s">
        <v>183</v>
      </c>
      <c r="C7" s="199" t="s">
        <v>184</v>
      </c>
    </row>
    <row r="8" spans="2:3">
      <c r="B8" t="s">
        <v>185</v>
      </c>
      <c r="C8" s="199" t="s">
        <v>186</v>
      </c>
    </row>
    <row r="9" spans="2:3">
      <c r="B9" t="s">
        <v>187</v>
      </c>
      <c r="C9" s="199" t="s">
        <v>188</v>
      </c>
    </row>
    <row r="10" spans="2:3">
      <c r="B10" t="s">
        <v>189</v>
      </c>
      <c r="C10" s="199" t="s">
        <v>190</v>
      </c>
    </row>
    <row r="11" spans="2:3">
      <c r="B11" t="s">
        <v>191</v>
      </c>
      <c r="C11" s="199" t="s">
        <v>192</v>
      </c>
    </row>
    <row r="12" spans="2:3">
      <c r="B12" t="s">
        <v>193</v>
      </c>
      <c r="C12" s="199" t="s">
        <v>194</v>
      </c>
    </row>
    <row r="13" spans="2:3">
      <c r="B13" t="s">
        <v>195</v>
      </c>
      <c r="C13" s="199" t="s">
        <v>196</v>
      </c>
    </row>
    <row r="14" spans="2:3">
      <c r="B14" t="s">
        <v>197</v>
      </c>
      <c r="C14" s="199" t="s">
        <v>198</v>
      </c>
    </row>
    <row r="15" spans="2:3">
      <c r="B15" t="s">
        <v>199</v>
      </c>
      <c r="C15" s="199" t="s">
        <v>200</v>
      </c>
    </row>
    <row r="16" spans="2:3">
      <c r="B16" t="s">
        <v>201</v>
      </c>
      <c r="C16" s="199" t="s">
        <v>202</v>
      </c>
    </row>
    <row r="17" spans="2:3">
      <c r="B17" t="s">
        <v>203</v>
      </c>
      <c r="C17" s="199" t="s">
        <v>204</v>
      </c>
    </row>
    <row r="18" spans="2:3">
      <c r="B18" t="s">
        <v>205</v>
      </c>
      <c r="C18" s="199" t="s">
        <v>206</v>
      </c>
    </row>
    <row r="19" spans="2:3">
      <c r="B19" t="s">
        <v>207</v>
      </c>
      <c r="C19" s="199" t="s">
        <v>208</v>
      </c>
    </row>
    <row r="20" spans="2:3">
      <c r="B20" t="s">
        <v>209</v>
      </c>
      <c r="C20" s="199" t="s">
        <v>210</v>
      </c>
    </row>
    <row r="21" spans="2:3">
      <c r="B21" t="s">
        <v>211</v>
      </c>
      <c r="C21" s="199" t="s">
        <v>212</v>
      </c>
    </row>
    <row r="22" spans="2:3">
      <c r="B22" t="s">
        <v>213</v>
      </c>
      <c r="C22" s="199" t="s">
        <v>214</v>
      </c>
    </row>
    <row r="23" spans="2:3">
      <c r="B23" t="s">
        <v>215</v>
      </c>
      <c r="C23" s="199" t="s">
        <v>216</v>
      </c>
    </row>
    <row r="24" spans="2:3">
      <c r="B24" t="s">
        <v>217</v>
      </c>
      <c r="C24" s="199" t="s">
        <v>218</v>
      </c>
    </row>
    <row r="25" spans="2:3">
      <c r="B25" t="s">
        <v>219</v>
      </c>
      <c r="C25" s="199" t="s">
        <v>220</v>
      </c>
    </row>
    <row r="26" spans="2:3">
      <c r="B26" t="s">
        <v>221</v>
      </c>
      <c r="C26" s="199" t="s">
        <v>222</v>
      </c>
    </row>
    <row r="27" spans="2:3">
      <c r="B27" t="s">
        <v>223</v>
      </c>
      <c r="C27" s="199" t="s">
        <v>224</v>
      </c>
    </row>
    <row r="28" spans="2:3">
      <c r="B28" t="s">
        <v>225</v>
      </c>
      <c r="C28" s="199" t="s">
        <v>226</v>
      </c>
    </row>
    <row r="29" spans="2:3">
      <c r="B29" t="s">
        <v>227</v>
      </c>
      <c r="C29" s="199" t="s">
        <v>228</v>
      </c>
    </row>
    <row r="30" spans="2:3">
      <c r="B30" t="s">
        <v>229</v>
      </c>
      <c r="C30" s="199" t="s">
        <v>230</v>
      </c>
    </row>
    <row r="31" spans="2:3">
      <c r="B31" t="s">
        <v>231</v>
      </c>
      <c r="C31" s="199" t="s">
        <v>232</v>
      </c>
    </row>
    <row r="32" spans="2:3">
      <c r="B32" t="s">
        <v>233</v>
      </c>
      <c r="C32" s="199" t="s">
        <v>234</v>
      </c>
    </row>
    <row r="33" spans="2:3">
      <c r="B33" t="s">
        <v>235</v>
      </c>
      <c r="C33" s="199" t="s">
        <v>236</v>
      </c>
    </row>
    <row r="34" spans="2:3">
      <c r="B34" t="s">
        <v>237</v>
      </c>
      <c r="C34" s="199" t="s">
        <v>238</v>
      </c>
    </row>
    <row r="35" spans="2:3">
      <c r="B35" t="s">
        <v>239</v>
      </c>
      <c r="C35">
        <v>29.01</v>
      </c>
    </row>
    <row r="36" spans="2:3">
      <c r="B36" t="s">
        <v>240</v>
      </c>
      <c r="C36" s="199" t="s">
        <v>241</v>
      </c>
    </row>
    <row r="37" spans="2:3">
      <c r="B37" t="s">
        <v>242</v>
      </c>
      <c r="C37" s="199" t="s">
        <v>243</v>
      </c>
    </row>
    <row r="38" spans="2:3">
      <c r="B38" t="s">
        <v>244</v>
      </c>
      <c r="C38" s="199" t="s">
        <v>245</v>
      </c>
    </row>
    <row r="39" spans="2:3">
      <c r="B39" t="s">
        <v>246</v>
      </c>
      <c r="C39" s="199" t="s">
        <v>247</v>
      </c>
    </row>
    <row r="40" spans="2:3">
      <c r="B40" t="s">
        <v>248</v>
      </c>
      <c r="C40" s="199" t="s">
        <v>249</v>
      </c>
    </row>
    <row r="41" spans="2:3">
      <c r="B41" t="s">
        <v>250</v>
      </c>
      <c r="C41" s="199" t="s">
        <v>251</v>
      </c>
    </row>
    <row r="42" spans="2:3">
      <c r="B42" t="s">
        <v>252</v>
      </c>
      <c r="C42">
        <v>22.02</v>
      </c>
    </row>
    <row r="43" spans="2:3">
      <c r="B43" t="s">
        <v>253</v>
      </c>
      <c r="C43" s="199" t="s">
        <v>254</v>
      </c>
    </row>
    <row r="44" spans="2:3">
      <c r="B44" t="s">
        <v>255</v>
      </c>
      <c r="C44" s="199" t="s">
        <v>256</v>
      </c>
    </row>
    <row r="45" spans="2:3">
      <c r="B45" t="s">
        <v>257</v>
      </c>
      <c r="C45" s="199" t="s">
        <v>258</v>
      </c>
    </row>
    <row r="46" spans="2:3">
      <c r="B46" t="s">
        <v>259</v>
      </c>
      <c r="C46" s="199" t="s">
        <v>260</v>
      </c>
    </row>
    <row r="47" spans="2:3">
      <c r="B47" t="s">
        <v>261</v>
      </c>
      <c r="C47" s="199" t="s">
        <v>262</v>
      </c>
    </row>
    <row r="48" spans="2:3">
      <c r="B48" t="s">
        <v>263</v>
      </c>
      <c r="C48" s="199" t="s">
        <v>264</v>
      </c>
    </row>
    <row r="49" spans="2:3">
      <c r="B49" t="s">
        <v>265</v>
      </c>
      <c r="C49" s="199" t="s">
        <v>266</v>
      </c>
    </row>
    <row r="50" spans="2:3">
      <c r="B50" t="s">
        <v>267</v>
      </c>
      <c r="C50" s="199" t="s">
        <v>268</v>
      </c>
    </row>
    <row r="51" spans="2:3">
      <c r="B51" t="s">
        <v>269</v>
      </c>
      <c r="C51" s="199" t="s">
        <v>270</v>
      </c>
    </row>
    <row r="52" spans="2:3">
      <c r="B52" t="s">
        <v>271</v>
      </c>
      <c r="C52" s="199" t="s">
        <v>272</v>
      </c>
    </row>
    <row r="53" spans="2:3">
      <c r="B53" t="s">
        <v>273</v>
      </c>
      <c r="C53" s="199" t="s">
        <v>274</v>
      </c>
    </row>
    <row r="54" spans="2:3">
      <c r="B54" t="s">
        <v>275</v>
      </c>
      <c r="C54" s="199" t="s">
        <v>276</v>
      </c>
    </row>
    <row r="55" spans="2:3">
      <c r="B55" t="s">
        <v>277</v>
      </c>
      <c r="C55" s="199" t="s">
        <v>278</v>
      </c>
    </row>
    <row r="56" spans="2:3">
      <c r="B56" t="s">
        <v>279</v>
      </c>
      <c r="C56" s="199">
        <v>19.03</v>
      </c>
    </row>
    <row r="57" spans="2:3">
      <c r="B57" t="s">
        <v>280</v>
      </c>
      <c r="C57" s="199" t="s">
        <v>281</v>
      </c>
    </row>
    <row r="58" spans="2:3">
      <c r="B58" t="s">
        <v>282</v>
      </c>
      <c r="C58" s="199" t="s">
        <v>283</v>
      </c>
    </row>
    <row r="59" spans="2:3">
      <c r="B59" t="s">
        <v>284</v>
      </c>
      <c r="C59" s="199" t="s">
        <v>276</v>
      </c>
    </row>
    <row r="60" spans="2:3">
      <c r="B60" t="s">
        <v>285</v>
      </c>
      <c r="C60" s="199" t="s">
        <v>286</v>
      </c>
    </row>
    <row r="61" spans="2:3">
      <c r="B61" t="s">
        <v>287</v>
      </c>
      <c r="C61" s="199" t="s">
        <v>288</v>
      </c>
    </row>
    <row r="62" spans="2:3">
      <c r="B62" t="s">
        <v>289</v>
      </c>
      <c r="C62" s="199">
        <v>17.010000000000002</v>
      </c>
    </row>
    <row r="63" spans="2:3">
      <c r="B63" t="s">
        <v>290</v>
      </c>
      <c r="C63" s="199" t="s">
        <v>291</v>
      </c>
    </row>
    <row r="64" spans="2:3">
      <c r="B64" t="s">
        <v>292</v>
      </c>
      <c r="C64" s="199" t="s">
        <v>293</v>
      </c>
    </row>
    <row r="65" spans="2:3">
      <c r="B65" t="s">
        <v>294</v>
      </c>
      <c r="C65" s="199">
        <v>15.1</v>
      </c>
    </row>
    <row r="66" spans="2:3">
      <c r="B66" t="s">
        <v>295</v>
      </c>
      <c r="C66" s="199" t="s">
        <v>296</v>
      </c>
    </row>
    <row r="67" spans="2:3">
      <c r="B67" t="s">
        <v>297</v>
      </c>
      <c r="C67" s="199" t="s">
        <v>298</v>
      </c>
    </row>
    <row r="68" spans="2:3">
      <c r="B68" t="s">
        <v>299</v>
      </c>
      <c r="C68" s="199">
        <v>12.58</v>
      </c>
    </row>
    <row r="69" spans="2:3">
      <c r="B69" t="s">
        <v>300</v>
      </c>
      <c r="C69" s="199">
        <v>11.72</v>
      </c>
    </row>
    <row r="70" spans="2:3">
      <c r="B70" t="s">
        <v>301</v>
      </c>
      <c r="C70" s="199">
        <v>10.84</v>
      </c>
    </row>
    <row r="71" spans="2:3">
      <c r="B71" t="s">
        <v>302</v>
      </c>
      <c r="C71" s="199" t="s">
        <v>303</v>
      </c>
    </row>
    <row r="72" spans="2:3">
      <c r="B72" t="s">
        <v>304</v>
      </c>
      <c r="C72" s="199" t="s">
        <v>305</v>
      </c>
    </row>
    <row r="73" spans="2:3">
      <c r="B73" t="s">
        <v>306</v>
      </c>
      <c r="C73" s="199" t="s">
        <v>307</v>
      </c>
    </row>
    <row r="74" spans="2:3">
      <c r="B74" t="s">
        <v>308</v>
      </c>
      <c r="C74" s="199" t="s">
        <v>309</v>
      </c>
    </row>
    <row r="75" spans="2:3">
      <c r="B75" t="s">
        <v>310</v>
      </c>
      <c r="C75" s="199" t="s">
        <v>311</v>
      </c>
    </row>
    <row r="76" spans="2:3">
      <c r="B76" t="s">
        <v>312</v>
      </c>
      <c r="C76" s="199" t="s">
        <v>313</v>
      </c>
    </row>
    <row r="77" spans="2:3">
      <c r="B77" t="s">
        <v>314</v>
      </c>
      <c r="C77" s="199" t="s">
        <v>315</v>
      </c>
    </row>
    <row r="78" spans="2:3">
      <c r="B78">
        <v>10.65</v>
      </c>
      <c r="C78" s="199" t="s">
        <v>316</v>
      </c>
    </row>
    <row r="79" spans="2:3">
      <c r="B79">
        <v>11.67</v>
      </c>
      <c r="C79" s="199" t="s">
        <v>317</v>
      </c>
    </row>
    <row r="80" spans="2:3">
      <c r="B80">
        <v>12.79</v>
      </c>
      <c r="C80" s="199" t="s">
        <v>318</v>
      </c>
    </row>
    <row r="81" spans="2:3">
      <c r="B81">
        <v>14.02</v>
      </c>
      <c r="C81" s="199" t="s">
        <v>319</v>
      </c>
    </row>
    <row r="82" spans="2:3">
      <c r="B82" t="s">
        <v>320</v>
      </c>
      <c r="C82" s="199" t="s">
        <v>321</v>
      </c>
    </row>
    <row r="83" spans="2:3">
      <c r="B83" t="s">
        <v>322</v>
      </c>
      <c r="C83" s="199" t="s">
        <v>323</v>
      </c>
    </row>
    <row r="84" spans="2:3">
      <c r="B84" t="s">
        <v>324</v>
      </c>
      <c r="C84" s="199" t="s">
        <v>325</v>
      </c>
    </row>
    <row r="85" spans="2:3">
      <c r="B85" t="s">
        <v>326</v>
      </c>
      <c r="C85" s="199" t="s">
        <v>327</v>
      </c>
    </row>
    <row r="86" spans="2:3">
      <c r="B86" t="s">
        <v>328</v>
      </c>
      <c r="C86" s="199" t="s">
        <v>329</v>
      </c>
    </row>
    <row r="87" spans="2:3">
      <c r="B87" t="s">
        <v>330</v>
      </c>
      <c r="C87" s="199" t="s">
        <v>331</v>
      </c>
    </row>
    <row r="88" spans="2:3">
      <c r="B88" t="s">
        <v>332</v>
      </c>
      <c r="C88" s="199" t="s">
        <v>333</v>
      </c>
    </row>
    <row r="89" spans="2:3">
      <c r="B89" t="s">
        <v>334</v>
      </c>
      <c r="C89" s="199" t="s">
        <v>335</v>
      </c>
    </row>
    <row r="90" spans="2:3">
      <c r="B90" t="s">
        <v>336</v>
      </c>
      <c r="C90" s="199" t="s">
        <v>337</v>
      </c>
    </row>
    <row r="91" spans="2:3">
      <c r="B91" t="s">
        <v>338</v>
      </c>
      <c r="C91" s="199" t="s">
        <v>339</v>
      </c>
    </row>
    <row r="92" spans="2:3">
      <c r="B92" t="s">
        <v>340</v>
      </c>
      <c r="C92" s="199" t="s">
        <v>341</v>
      </c>
    </row>
    <row r="93" spans="2:3">
      <c r="B93" t="s">
        <v>342</v>
      </c>
      <c r="C93" s="199" t="s">
        <v>343</v>
      </c>
    </row>
    <row r="94" spans="2:3">
      <c r="B94" t="s">
        <v>344</v>
      </c>
      <c r="C94" s="199" t="s">
        <v>345</v>
      </c>
    </row>
    <row r="95" spans="2:3">
      <c r="B95" t="s">
        <v>346</v>
      </c>
      <c r="C95" s="199" t="s">
        <v>347</v>
      </c>
    </row>
    <row r="96" spans="2:3">
      <c r="B96" t="s">
        <v>348</v>
      </c>
      <c r="C96" s="199" t="s">
        <v>349</v>
      </c>
    </row>
    <row r="97" spans="2:3">
      <c r="B97" t="s">
        <v>350</v>
      </c>
      <c r="C97" s="199" t="s">
        <v>351</v>
      </c>
    </row>
    <row r="98" spans="2:3">
      <c r="B98" t="s">
        <v>352</v>
      </c>
      <c r="C98" s="199" t="s">
        <v>353</v>
      </c>
    </row>
    <row r="99" spans="2:3">
      <c r="B99" t="s">
        <v>354</v>
      </c>
      <c r="C99" s="199" t="s">
        <v>355</v>
      </c>
    </row>
    <row r="100" spans="2:3">
      <c r="B100" t="s">
        <v>356</v>
      </c>
      <c r="C100" s="199" t="s">
        <v>357</v>
      </c>
    </row>
    <row r="101" spans="2:3">
      <c r="B101" t="s">
        <v>358</v>
      </c>
      <c r="C101" s="199" t="s">
        <v>359</v>
      </c>
    </row>
    <row r="102" spans="2:3">
      <c r="B102" t="s">
        <v>360</v>
      </c>
      <c r="C102" s="199" t="s">
        <v>361</v>
      </c>
    </row>
    <row r="103" spans="2:3">
      <c r="B103" t="s">
        <v>362</v>
      </c>
      <c r="C103" s="199" t="s">
        <v>363</v>
      </c>
    </row>
    <row r="104" spans="2:3">
      <c r="B104" t="s">
        <v>364</v>
      </c>
      <c r="C104" s="199" t="s">
        <v>365</v>
      </c>
    </row>
    <row r="105" spans="2:3">
      <c r="B105" t="s">
        <v>366</v>
      </c>
      <c r="C105" s="199" t="s">
        <v>367</v>
      </c>
    </row>
    <row r="106" spans="2:3">
      <c r="B106" t="s">
        <v>368</v>
      </c>
      <c r="C106" s="199" t="s">
        <v>369</v>
      </c>
    </row>
    <row r="107" spans="2:3">
      <c r="B107" t="s">
        <v>370</v>
      </c>
      <c r="C107" s="199" t="s">
        <v>371</v>
      </c>
    </row>
    <row r="108" spans="2:3">
      <c r="B108" t="s">
        <v>372</v>
      </c>
      <c r="C108" s="199" t="s">
        <v>373</v>
      </c>
    </row>
    <row r="109" spans="2:3">
      <c r="B109" t="s">
        <v>374</v>
      </c>
      <c r="C109" s="199" t="s">
        <v>375</v>
      </c>
    </row>
    <row r="110" spans="2:3">
      <c r="B110" t="s">
        <v>376</v>
      </c>
      <c r="C110" s="199" t="s">
        <v>377</v>
      </c>
    </row>
    <row r="111" spans="2:3">
      <c r="B111" t="s">
        <v>378</v>
      </c>
      <c r="C111" s="199" t="s">
        <v>379</v>
      </c>
    </row>
    <row r="112" spans="2:3">
      <c r="B112" t="s">
        <v>380</v>
      </c>
      <c r="C112" s="199" t="s">
        <v>381</v>
      </c>
    </row>
    <row r="113" spans="2:7">
      <c r="B113" t="s">
        <v>382</v>
      </c>
      <c r="C113" s="199" t="s">
        <v>383</v>
      </c>
    </row>
    <row r="114" spans="2:7">
      <c r="B114" t="s">
        <v>384</v>
      </c>
      <c r="C114" s="199" t="s">
        <v>385</v>
      </c>
    </row>
    <row r="115" spans="2:7">
      <c r="B115" t="s">
        <v>386</v>
      </c>
      <c r="C115" s="199" t="s">
        <v>387</v>
      </c>
    </row>
    <row r="116" spans="2:7">
      <c r="B116" t="s">
        <v>388</v>
      </c>
      <c r="C116" s="199" t="s">
        <v>252</v>
      </c>
    </row>
    <row r="117" spans="2:7">
      <c r="B117" t="s">
        <v>389</v>
      </c>
      <c r="C117" s="199" t="s">
        <v>390</v>
      </c>
    </row>
    <row r="118" spans="2:7">
      <c r="B118" t="s">
        <v>391</v>
      </c>
      <c r="C118" s="199" t="s">
        <v>392</v>
      </c>
    </row>
    <row r="119" spans="2:7">
      <c r="B119" t="s">
        <v>393</v>
      </c>
      <c r="C119" s="199" t="s">
        <v>394</v>
      </c>
    </row>
    <row r="120" spans="2:7">
      <c r="G120" t="s">
        <v>1108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C119"/>
  <sheetViews>
    <sheetView workbookViewId="0">
      <selection activeCell="B1" sqref="B1:C1048576"/>
    </sheetView>
  </sheetViews>
  <sheetFormatPr defaultRowHeight="14.25"/>
  <cols>
    <col min="2" max="2" width="9.25" bestFit="1" customWidth="1"/>
    <col min="3" max="3" width="15.125" customWidth="1"/>
  </cols>
  <sheetData>
    <row r="1" spans="2:3">
      <c r="B1" t="s">
        <v>171</v>
      </c>
      <c r="C1" s="199" t="s">
        <v>172</v>
      </c>
    </row>
    <row r="2" spans="2:3">
      <c r="B2" t="s">
        <v>395</v>
      </c>
      <c r="C2" t="s">
        <v>396</v>
      </c>
    </row>
    <row r="3" spans="2:3">
      <c r="B3" t="s">
        <v>397</v>
      </c>
      <c r="C3" t="s">
        <v>398</v>
      </c>
    </row>
    <row r="4" spans="2:3">
      <c r="B4" t="s">
        <v>399</v>
      </c>
      <c r="C4" t="s">
        <v>400</v>
      </c>
    </row>
    <row r="5" spans="2:3">
      <c r="B5" t="s">
        <v>401</v>
      </c>
      <c r="C5" t="s">
        <v>402</v>
      </c>
    </row>
    <row r="6" spans="2:3">
      <c r="B6" t="s">
        <v>403</v>
      </c>
      <c r="C6" t="s">
        <v>404</v>
      </c>
    </row>
    <row r="7" spans="2:3">
      <c r="B7" t="s">
        <v>405</v>
      </c>
      <c r="C7" t="s">
        <v>406</v>
      </c>
    </row>
    <row r="8" spans="2:3">
      <c r="B8" t="s">
        <v>407</v>
      </c>
      <c r="C8" t="s">
        <v>408</v>
      </c>
    </row>
    <row r="9" spans="2:3">
      <c r="B9" t="s">
        <v>409</v>
      </c>
      <c r="C9" t="s">
        <v>410</v>
      </c>
    </row>
    <row r="10" spans="2:3">
      <c r="B10" t="s">
        <v>411</v>
      </c>
      <c r="C10" t="s">
        <v>412</v>
      </c>
    </row>
    <row r="11" spans="2:3">
      <c r="B11" t="s">
        <v>413</v>
      </c>
      <c r="C11" t="s">
        <v>414</v>
      </c>
    </row>
    <row r="12" spans="2:3">
      <c r="B12" t="s">
        <v>415</v>
      </c>
      <c r="C12" t="s">
        <v>416</v>
      </c>
    </row>
    <row r="13" spans="2:3">
      <c r="B13" t="s">
        <v>417</v>
      </c>
      <c r="C13" t="s">
        <v>418</v>
      </c>
    </row>
    <row r="14" spans="2:3">
      <c r="B14" t="s">
        <v>419</v>
      </c>
      <c r="C14" t="s">
        <v>420</v>
      </c>
    </row>
    <row r="15" spans="2:3">
      <c r="B15" t="s">
        <v>421</v>
      </c>
      <c r="C15" t="s">
        <v>422</v>
      </c>
    </row>
    <row r="16" spans="2:3">
      <c r="B16" t="s">
        <v>423</v>
      </c>
      <c r="C16" t="s">
        <v>424</v>
      </c>
    </row>
    <row r="17" spans="2:3">
      <c r="B17" t="s">
        <v>425</v>
      </c>
      <c r="C17" t="s">
        <v>426</v>
      </c>
    </row>
    <row r="18" spans="2:3">
      <c r="B18" t="s">
        <v>427</v>
      </c>
      <c r="C18" t="s">
        <v>428</v>
      </c>
    </row>
    <row r="19" spans="2:3">
      <c r="B19" t="s">
        <v>429</v>
      </c>
      <c r="C19" t="s">
        <v>430</v>
      </c>
    </row>
    <row r="20" spans="2:3">
      <c r="B20" t="s">
        <v>431</v>
      </c>
      <c r="C20" t="s">
        <v>432</v>
      </c>
    </row>
    <row r="21" spans="2:3">
      <c r="B21" t="s">
        <v>433</v>
      </c>
      <c r="C21" t="s">
        <v>434</v>
      </c>
    </row>
    <row r="22" spans="2:3">
      <c r="B22" t="s">
        <v>435</v>
      </c>
      <c r="C22" t="s">
        <v>436</v>
      </c>
    </row>
    <row r="23" spans="2:3">
      <c r="B23" t="s">
        <v>437</v>
      </c>
      <c r="C23" t="s">
        <v>438</v>
      </c>
    </row>
    <row r="24" spans="2:3">
      <c r="B24" t="s">
        <v>439</v>
      </c>
      <c r="C24" t="s">
        <v>440</v>
      </c>
    </row>
    <row r="25" spans="2:3">
      <c r="B25" t="s">
        <v>441</v>
      </c>
      <c r="C25" t="s">
        <v>442</v>
      </c>
    </row>
    <row r="26" spans="2:3">
      <c r="B26" t="s">
        <v>443</v>
      </c>
      <c r="C26" t="s">
        <v>444</v>
      </c>
    </row>
    <row r="27" spans="2:3">
      <c r="B27" t="s">
        <v>445</v>
      </c>
      <c r="C27" t="s">
        <v>446</v>
      </c>
    </row>
    <row r="28" spans="2:3">
      <c r="B28" t="s">
        <v>447</v>
      </c>
      <c r="C28" t="s">
        <v>448</v>
      </c>
    </row>
    <row r="29" spans="2:3">
      <c r="B29" t="s">
        <v>449</v>
      </c>
      <c r="C29" t="s">
        <v>450</v>
      </c>
    </row>
    <row r="30" spans="2:3">
      <c r="B30" t="s">
        <v>451</v>
      </c>
      <c r="C30">
        <v>23.09</v>
      </c>
    </row>
    <row r="31" spans="2:3">
      <c r="B31" t="s">
        <v>452</v>
      </c>
      <c r="C31" t="s">
        <v>453</v>
      </c>
    </row>
    <row r="32" spans="2:3">
      <c r="B32" t="s">
        <v>454</v>
      </c>
      <c r="C32" t="s">
        <v>455</v>
      </c>
    </row>
    <row r="33" spans="2:3">
      <c r="B33" t="s">
        <v>456</v>
      </c>
      <c r="C33">
        <v>20.12</v>
      </c>
    </row>
    <row r="34" spans="2:3">
      <c r="B34" t="s">
        <v>457</v>
      </c>
      <c r="C34" t="s">
        <v>458</v>
      </c>
    </row>
    <row r="35" spans="2:3">
      <c r="B35" t="s">
        <v>459</v>
      </c>
      <c r="C35" t="s">
        <v>460</v>
      </c>
    </row>
    <row r="36" spans="2:3">
      <c r="B36" t="s">
        <v>461</v>
      </c>
      <c r="C36" t="s">
        <v>462</v>
      </c>
    </row>
    <row r="37" spans="2:3">
      <c r="B37" t="s">
        <v>463</v>
      </c>
      <c r="C37">
        <v>17.04</v>
      </c>
    </row>
    <row r="38" spans="2:3">
      <c r="B38" t="s">
        <v>464</v>
      </c>
      <c r="C38" t="s">
        <v>465</v>
      </c>
    </row>
    <row r="39" spans="2:3">
      <c r="B39" t="s">
        <v>466</v>
      </c>
      <c r="C39">
        <v>16.02</v>
      </c>
    </row>
    <row r="40" spans="2:3">
      <c r="B40" t="s">
        <v>467</v>
      </c>
      <c r="C40" t="s">
        <v>468</v>
      </c>
    </row>
    <row r="41" spans="2:3">
      <c r="B41" t="s">
        <v>469</v>
      </c>
      <c r="C41" t="s">
        <v>470</v>
      </c>
    </row>
    <row r="42" spans="2:3">
      <c r="B42" t="s">
        <v>471</v>
      </c>
      <c r="C42" t="s">
        <v>472</v>
      </c>
    </row>
    <row r="43" spans="2:3">
      <c r="B43" t="s">
        <v>473</v>
      </c>
      <c r="C43" t="s">
        <v>474</v>
      </c>
    </row>
    <row r="44" spans="2:3">
      <c r="B44" t="s">
        <v>475</v>
      </c>
      <c r="C44" t="s">
        <v>470</v>
      </c>
    </row>
    <row r="45" spans="2:3">
      <c r="B45" t="s">
        <v>476</v>
      </c>
      <c r="C45" t="s">
        <v>477</v>
      </c>
    </row>
    <row r="46" spans="2:3">
      <c r="B46" t="s">
        <v>478</v>
      </c>
      <c r="C46" t="s">
        <v>479</v>
      </c>
    </row>
    <row r="47" spans="2:3">
      <c r="B47" t="s">
        <v>480</v>
      </c>
      <c r="C47" t="s">
        <v>481</v>
      </c>
    </row>
    <row r="48" spans="2:3">
      <c r="B48" t="s">
        <v>482</v>
      </c>
      <c r="C48" t="s">
        <v>483</v>
      </c>
    </row>
    <row r="49" spans="2:3">
      <c r="B49" t="s">
        <v>484</v>
      </c>
      <c r="C49" t="s">
        <v>485</v>
      </c>
    </row>
    <row r="50" spans="2:3">
      <c r="B50" t="s">
        <v>486</v>
      </c>
      <c r="C50">
        <v>15.03</v>
      </c>
    </row>
    <row r="51" spans="2:3">
      <c r="B51" t="s">
        <v>487</v>
      </c>
      <c r="C51" t="s">
        <v>488</v>
      </c>
    </row>
    <row r="52" spans="2:3">
      <c r="B52" t="s">
        <v>489</v>
      </c>
      <c r="C52" t="s">
        <v>490</v>
      </c>
    </row>
    <row r="53" spans="2:3">
      <c r="B53" t="s">
        <v>491</v>
      </c>
      <c r="C53" t="s">
        <v>492</v>
      </c>
    </row>
    <row r="54" spans="2:3">
      <c r="B54" t="s">
        <v>493</v>
      </c>
      <c r="C54" t="s">
        <v>494</v>
      </c>
    </row>
    <row r="55" spans="2:3">
      <c r="B55" t="s">
        <v>495</v>
      </c>
      <c r="C55">
        <v>12.98</v>
      </c>
    </row>
    <row r="56" spans="2:3">
      <c r="B56" t="s">
        <v>496</v>
      </c>
      <c r="C56">
        <v>12.59</v>
      </c>
    </row>
    <row r="57" spans="2:3">
      <c r="B57" t="s">
        <v>497</v>
      </c>
      <c r="C57">
        <v>12.2</v>
      </c>
    </row>
    <row r="58" spans="2:3">
      <c r="B58" t="s">
        <v>498</v>
      </c>
      <c r="C58">
        <v>12.79</v>
      </c>
    </row>
    <row r="59" spans="2:3">
      <c r="B59" t="s">
        <v>499</v>
      </c>
      <c r="C59">
        <v>11.31</v>
      </c>
    </row>
    <row r="60" spans="2:3">
      <c r="B60" t="s">
        <v>500</v>
      </c>
      <c r="C60">
        <v>10.78</v>
      </c>
    </row>
    <row r="61" spans="2:3">
      <c r="B61" t="s">
        <v>337</v>
      </c>
      <c r="C61">
        <v>10.220000000000001</v>
      </c>
    </row>
    <row r="62" spans="2:3">
      <c r="B62" t="s">
        <v>501</v>
      </c>
      <c r="C62" t="s">
        <v>502</v>
      </c>
    </row>
    <row r="63" spans="2:3">
      <c r="B63" t="s">
        <v>503</v>
      </c>
      <c r="C63" t="s">
        <v>504</v>
      </c>
    </row>
    <row r="64" spans="2:3">
      <c r="B64" t="s">
        <v>505</v>
      </c>
      <c r="C64" t="s">
        <v>506</v>
      </c>
    </row>
    <row r="65" spans="2:3">
      <c r="B65" t="s">
        <v>507</v>
      </c>
      <c r="C65" t="s">
        <v>508</v>
      </c>
    </row>
    <row r="66" spans="2:3">
      <c r="B66" t="s">
        <v>509</v>
      </c>
      <c r="C66" t="s">
        <v>510</v>
      </c>
    </row>
    <row r="67" spans="2:3">
      <c r="B67" t="s">
        <v>511</v>
      </c>
      <c r="C67" t="s">
        <v>512</v>
      </c>
    </row>
    <row r="68" spans="2:3">
      <c r="B68" t="s">
        <v>513</v>
      </c>
      <c r="C68" t="s">
        <v>514</v>
      </c>
    </row>
    <row r="69" spans="2:3">
      <c r="B69" t="s">
        <v>515</v>
      </c>
      <c r="C69" t="s">
        <v>516</v>
      </c>
    </row>
    <row r="70" spans="2:3">
      <c r="B70" t="s">
        <v>517</v>
      </c>
      <c r="C70" t="s">
        <v>518</v>
      </c>
    </row>
    <row r="71" spans="2:3">
      <c r="B71" t="s">
        <v>519</v>
      </c>
      <c r="C71" t="s">
        <v>520</v>
      </c>
    </row>
    <row r="72" spans="2:3">
      <c r="B72" t="s">
        <v>521</v>
      </c>
      <c r="C72" t="s">
        <v>522</v>
      </c>
    </row>
    <row r="73" spans="2:3">
      <c r="B73" t="s">
        <v>523</v>
      </c>
      <c r="C73" t="s">
        <v>524</v>
      </c>
    </row>
    <row r="74" spans="2:3">
      <c r="B74" t="s">
        <v>525</v>
      </c>
      <c r="C74" t="s">
        <v>526</v>
      </c>
    </row>
    <row r="75" spans="2:3">
      <c r="B75" t="s">
        <v>527</v>
      </c>
      <c r="C75" t="s">
        <v>528</v>
      </c>
    </row>
    <row r="76" spans="2:3">
      <c r="B76" t="s">
        <v>529</v>
      </c>
      <c r="C76" t="s">
        <v>530</v>
      </c>
    </row>
    <row r="77" spans="2:3">
      <c r="B77" t="s">
        <v>531</v>
      </c>
      <c r="C77" t="s">
        <v>532</v>
      </c>
    </row>
    <row r="78" spans="2:3">
      <c r="B78">
        <v>10.62</v>
      </c>
      <c r="C78" t="s">
        <v>533</v>
      </c>
    </row>
    <row r="79" spans="2:3">
      <c r="B79">
        <v>11.64</v>
      </c>
      <c r="C79" t="s">
        <v>534</v>
      </c>
    </row>
    <row r="80" spans="2:3">
      <c r="B80">
        <v>12.76</v>
      </c>
      <c r="C80" t="s">
        <v>535</v>
      </c>
    </row>
    <row r="81" spans="2:3">
      <c r="B81" t="s">
        <v>536</v>
      </c>
      <c r="C81" t="s">
        <v>537</v>
      </c>
    </row>
    <row r="82" spans="2:3">
      <c r="B82" t="s">
        <v>538</v>
      </c>
      <c r="C82" t="s">
        <v>539</v>
      </c>
    </row>
    <row r="83" spans="2:3">
      <c r="B83" t="s">
        <v>540</v>
      </c>
      <c r="C83" t="s">
        <v>541</v>
      </c>
    </row>
    <row r="84" spans="2:3">
      <c r="B84" t="s">
        <v>542</v>
      </c>
      <c r="C84" t="s">
        <v>543</v>
      </c>
    </row>
    <row r="85" spans="2:3">
      <c r="B85" t="s">
        <v>544</v>
      </c>
      <c r="C85" t="s">
        <v>545</v>
      </c>
    </row>
    <row r="86" spans="2:3">
      <c r="B86" t="s">
        <v>546</v>
      </c>
      <c r="C86" t="s">
        <v>547</v>
      </c>
    </row>
    <row r="87" spans="2:3">
      <c r="B87" t="s">
        <v>548</v>
      </c>
      <c r="C87" t="s">
        <v>549</v>
      </c>
    </row>
    <row r="88" spans="2:3">
      <c r="B88" t="s">
        <v>550</v>
      </c>
      <c r="C88" t="s">
        <v>551</v>
      </c>
    </row>
    <row r="89" spans="2:3">
      <c r="B89" t="s">
        <v>552</v>
      </c>
      <c r="C89" t="s">
        <v>553</v>
      </c>
    </row>
    <row r="90" spans="2:3">
      <c r="B90" t="s">
        <v>554</v>
      </c>
      <c r="C90" t="s">
        <v>555</v>
      </c>
    </row>
    <row r="91" spans="2:3">
      <c r="B91" t="s">
        <v>556</v>
      </c>
      <c r="C91" t="s">
        <v>557</v>
      </c>
    </row>
    <row r="92" spans="2:3">
      <c r="B92" t="s">
        <v>558</v>
      </c>
      <c r="C92" t="s">
        <v>559</v>
      </c>
    </row>
    <row r="93" spans="2:3">
      <c r="B93" t="s">
        <v>560</v>
      </c>
      <c r="C93" t="s">
        <v>561</v>
      </c>
    </row>
    <row r="94" spans="2:3">
      <c r="B94" t="s">
        <v>562</v>
      </c>
      <c r="C94" t="s">
        <v>563</v>
      </c>
    </row>
    <row r="95" spans="2:3">
      <c r="B95" t="s">
        <v>564</v>
      </c>
      <c r="C95" t="s">
        <v>565</v>
      </c>
    </row>
    <row r="96" spans="2:3">
      <c r="B96" t="s">
        <v>566</v>
      </c>
      <c r="C96" t="s">
        <v>567</v>
      </c>
    </row>
    <row r="97" spans="2:3">
      <c r="B97" t="s">
        <v>568</v>
      </c>
      <c r="C97" t="s">
        <v>569</v>
      </c>
    </row>
    <row r="98" spans="2:3">
      <c r="B98" t="s">
        <v>570</v>
      </c>
      <c r="C98" t="s">
        <v>571</v>
      </c>
    </row>
    <row r="99" spans="2:3">
      <c r="B99" t="s">
        <v>572</v>
      </c>
      <c r="C99" t="s">
        <v>573</v>
      </c>
    </row>
    <row r="100" spans="2:3">
      <c r="B100" t="s">
        <v>574</v>
      </c>
      <c r="C100" t="s">
        <v>575</v>
      </c>
    </row>
    <row r="101" spans="2:3">
      <c r="B101" t="s">
        <v>576</v>
      </c>
      <c r="C101" t="s">
        <v>577</v>
      </c>
    </row>
    <row r="102" spans="2:3">
      <c r="B102" t="s">
        <v>578</v>
      </c>
      <c r="C102" t="s">
        <v>579</v>
      </c>
    </row>
    <row r="103" spans="2:3">
      <c r="B103" t="s">
        <v>580</v>
      </c>
      <c r="C103" t="s">
        <v>581</v>
      </c>
    </row>
    <row r="104" spans="2:3">
      <c r="B104" t="s">
        <v>364</v>
      </c>
      <c r="C104" t="s">
        <v>582</v>
      </c>
    </row>
    <row r="105" spans="2:3">
      <c r="B105" t="s">
        <v>583</v>
      </c>
      <c r="C105" t="s">
        <v>584</v>
      </c>
    </row>
    <row r="106" spans="2:3">
      <c r="B106" t="s">
        <v>585</v>
      </c>
      <c r="C106" t="s">
        <v>586</v>
      </c>
    </row>
    <row r="107" spans="2:3">
      <c r="B107" t="s">
        <v>587</v>
      </c>
      <c r="C107" t="s">
        <v>588</v>
      </c>
    </row>
    <row r="108" spans="2:3">
      <c r="B108" t="s">
        <v>589</v>
      </c>
      <c r="C108" t="s">
        <v>590</v>
      </c>
    </row>
    <row r="109" spans="2:3">
      <c r="B109" t="s">
        <v>591</v>
      </c>
      <c r="C109" t="s">
        <v>592</v>
      </c>
    </row>
    <row r="110" spans="2:3">
      <c r="B110" t="s">
        <v>593</v>
      </c>
      <c r="C110" t="s">
        <v>594</v>
      </c>
    </row>
    <row r="111" spans="2:3">
      <c r="B111" t="s">
        <v>595</v>
      </c>
      <c r="C111" t="s">
        <v>596</v>
      </c>
    </row>
    <row r="112" spans="2:3">
      <c r="B112" t="s">
        <v>597</v>
      </c>
      <c r="C112" t="s">
        <v>598</v>
      </c>
    </row>
    <row r="113" spans="2:3">
      <c r="B113" t="s">
        <v>382</v>
      </c>
      <c r="C113" t="s">
        <v>599</v>
      </c>
    </row>
    <row r="114" spans="2:3">
      <c r="B114" t="s">
        <v>384</v>
      </c>
      <c r="C114" t="s">
        <v>600</v>
      </c>
    </row>
    <row r="115" spans="2:3">
      <c r="B115" t="s">
        <v>386</v>
      </c>
      <c r="C115" t="s">
        <v>601</v>
      </c>
    </row>
    <row r="116" spans="2:3">
      <c r="B116" t="s">
        <v>388</v>
      </c>
      <c r="C116" t="s">
        <v>602</v>
      </c>
    </row>
    <row r="117" spans="2:3">
      <c r="B117" t="s">
        <v>389</v>
      </c>
      <c r="C117" t="s">
        <v>603</v>
      </c>
    </row>
    <row r="118" spans="2:3">
      <c r="B118" t="s">
        <v>391</v>
      </c>
      <c r="C118" t="s">
        <v>604</v>
      </c>
    </row>
    <row r="119" spans="2:3">
      <c r="B119" t="s">
        <v>393</v>
      </c>
      <c r="C119" t="s">
        <v>605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C119"/>
  <sheetViews>
    <sheetView workbookViewId="0">
      <selection activeCell="B109" sqref="B1:C1048576"/>
    </sheetView>
  </sheetViews>
  <sheetFormatPr defaultRowHeight="14.25"/>
  <cols>
    <col min="2" max="2" width="12.125" customWidth="1"/>
  </cols>
  <sheetData>
    <row r="1" spans="2:3">
      <c r="B1" t="s">
        <v>171</v>
      </c>
      <c r="C1" s="199" t="s">
        <v>172</v>
      </c>
    </row>
    <row r="2" spans="2:3">
      <c r="B2" t="s">
        <v>606</v>
      </c>
      <c r="C2" t="s">
        <v>607</v>
      </c>
    </row>
    <row r="3" spans="2:3">
      <c r="B3" t="s">
        <v>608</v>
      </c>
      <c r="C3" t="s">
        <v>609</v>
      </c>
    </row>
    <row r="4" spans="2:3">
      <c r="B4" t="s">
        <v>610</v>
      </c>
      <c r="C4" t="s">
        <v>611</v>
      </c>
    </row>
    <row r="5" spans="2:3">
      <c r="B5" t="s">
        <v>612</v>
      </c>
      <c r="C5" t="s">
        <v>613</v>
      </c>
    </row>
    <row r="6" spans="2:3">
      <c r="B6" t="s">
        <v>614</v>
      </c>
      <c r="C6" t="s">
        <v>615</v>
      </c>
    </row>
    <row r="7" spans="2:3">
      <c r="B7" t="s">
        <v>616</v>
      </c>
      <c r="C7" t="s">
        <v>617</v>
      </c>
    </row>
    <row r="8" spans="2:3">
      <c r="B8" t="s">
        <v>618</v>
      </c>
      <c r="C8" t="s">
        <v>619</v>
      </c>
    </row>
    <row r="9" spans="2:3">
      <c r="B9" t="s">
        <v>620</v>
      </c>
      <c r="C9" t="s">
        <v>621</v>
      </c>
    </row>
    <row r="10" spans="2:3">
      <c r="B10" t="s">
        <v>622</v>
      </c>
      <c r="C10" t="s">
        <v>623</v>
      </c>
    </row>
    <row r="11" spans="2:3">
      <c r="B11" t="s">
        <v>624</v>
      </c>
      <c r="C11" t="s">
        <v>625</v>
      </c>
    </row>
    <row r="12" spans="2:3">
      <c r="B12" t="s">
        <v>626</v>
      </c>
      <c r="C12" t="s">
        <v>627</v>
      </c>
    </row>
    <row r="13" spans="2:3">
      <c r="B13" t="s">
        <v>628</v>
      </c>
      <c r="C13" t="s">
        <v>629</v>
      </c>
    </row>
    <row r="14" spans="2:3">
      <c r="B14" t="s">
        <v>630</v>
      </c>
      <c r="C14" t="s">
        <v>631</v>
      </c>
    </row>
    <row r="15" spans="2:3">
      <c r="B15" t="s">
        <v>632</v>
      </c>
      <c r="C15" t="s">
        <v>633</v>
      </c>
    </row>
    <row r="16" spans="2:3">
      <c r="B16" t="s">
        <v>634</v>
      </c>
      <c r="C16" t="s">
        <v>635</v>
      </c>
    </row>
    <row r="17" spans="2:3">
      <c r="B17" t="s">
        <v>636</v>
      </c>
      <c r="C17" t="s">
        <v>637</v>
      </c>
    </row>
    <row r="18" spans="2:3">
      <c r="B18" t="s">
        <v>638</v>
      </c>
      <c r="C18" t="s">
        <v>639</v>
      </c>
    </row>
    <row r="19" spans="2:3">
      <c r="B19" t="s">
        <v>640</v>
      </c>
      <c r="C19" t="s">
        <v>641</v>
      </c>
    </row>
    <row r="20" spans="2:3">
      <c r="B20" t="s">
        <v>642</v>
      </c>
      <c r="C20" t="s">
        <v>643</v>
      </c>
    </row>
    <row r="21" spans="2:3">
      <c r="B21" t="s">
        <v>644</v>
      </c>
      <c r="C21" t="s">
        <v>645</v>
      </c>
    </row>
    <row r="22" spans="2:3">
      <c r="B22" t="s">
        <v>646</v>
      </c>
      <c r="C22" t="s">
        <v>647</v>
      </c>
    </row>
    <row r="23" spans="2:3">
      <c r="B23" t="s">
        <v>648</v>
      </c>
      <c r="C23" t="s">
        <v>649</v>
      </c>
    </row>
    <row r="24" spans="2:3">
      <c r="B24" t="s">
        <v>650</v>
      </c>
      <c r="C24" t="s">
        <v>651</v>
      </c>
    </row>
    <row r="25" spans="2:3">
      <c r="B25" t="s">
        <v>652</v>
      </c>
      <c r="C25" t="s">
        <v>653</v>
      </c>
    </row>
    <row r="26" spans="2:3">
      <c r="B26" t="s">
        <v>654</v>
      </c>
      <c r="C26" t="s">
        <v>655</v>
      </c>
    </row>
    <row r="27" spans="2:3">
      <c r="B27" t="s">
        <v>656</v>
      </c>
      <c r="C27" t="s">
        <v>657</v>
      </c>
    </row>
    <row r="28" spans="2:3">
      <c r="B28" t="s">
        <v>658</v>
      </c>
      <c r="C28" t="s">
        <v>659</v>
      </c>
    </row>
    <row r="29" spans="2:3">
      <c r="B29" t="s">
        <v>660</v>
      </c>
      <c r="C29" t="s">
        <v>661</v>
      </c>
    </row>
    <row r="30" spans="2:3">
      <c r="B30" t="s">
        <v>662</v>
      </c>
      <c r="C30" t="s">
        <v>663</v>
      </c>
    </row>
    <row r="31" spans="2:3">
      <c r="B31" t="s">
        <v>664</v>
      </c>
      <c r="C31" t="s">
        <v>665</v>
      </c>
    </row>
    <row r="32" spans="2:3">
      <c r="B32" t="s">
        <v>666</v>
      </c>
      <c r="C32" t="s">
        <v>667</v>
      </c>
    </row>
    <row r="33" spans="2:3">
      <c r="B33" t="s">
        <v>235</v>
      </c>
      <c r="C33" t="s">
        <v>668</v>
      </c>
    </row>
    <row r="34" spans="2:3">
      <c r="B34" t="s">
        <v>669</v>
      </c>
      <c r="C34" t="s">
        <v>670</v>
      </c>
    </row>
    <row r="35" spans="2:3">
      <c r="B35" t="s">
        <v>671</v>
      </c>
      <c r="C35" t="s">
        <v>672</v>
      </c>
    </row>
    <row r="36" spans="2:3">
      <c r="B36" t="s">
        <v>673</v>
      </c>
      <c r="C36" t="s">
        <v>674</v>
      </c>
    </row>
    <row r="37" spans="2:3">
      <c r="B37" t="s">
        <v>675</v>
      </c>
      <c r="C37" t="s">
        <v>676</v>
      </c>
    </row>
    <row r="38" spans="2:3">
      <c r="B38" t="s">
        <v>677</v>
      </c>
      <c r="C38" t="s">
        <v>678</v>
      </c>
    </row>
    <row r="39" spans="2:3">
      <c r="B39" t="s">
        <v>679</v>
      </c>
      <c r="C39" t="s">
        <v>680</v>
      </c>
    </row>
    <row r="40" spans="2:3">
      <c r="B40" t="s">
        <v>681</v>
      </c>
      <c r="C40" t="s">
        <v>682</v>
      </c>
    </row>
    <row r="41" spans="2:3">
      <c r="B41" t="s">
        <v>683</v>
      </c>
      <c r="C41" t="s">
        <v>684</v>
      </c>
    </row>
    <row r="42" spans="2:3">
      <c r="B42" t="s">
        <v>685</v>
      </c>
      <c r="C42" t="s">
        <v>686</v>
      </c>
    </row>
    <row r="43" spans="2:3">
      <c r="B43" t="s">
        <v>687</v>
      </c>
      <c r="C43" t="s">
        <v>688</v>
      </c>
    </row>
    <row r="44" spans="2:3">
      <c r="B44" t="s">
        <v>689</v>
      </c>
      <c r="C44" t="s">
        <v>690</v>
      </c>
    </row>
    <row r="45" spans="2:3">
      <c r="B45" t="s">
        <v>691</v>
      </c>
      <c r="C45" t="s">
        <v>692</v>
      </c>
    </row>
    <row r="46" spans="2:3">
      <c r="B46" t="s">
        <v>693</v>
      </c>
      <c r="C46" t="s">
        <v>694</v>
      </c>
    </row>
    <row r="47" spans="2:3">
      <c r="B47" t="s">
        <v>695</v>
      </c>
      <c r="C47" t="s">
        <v>696</v>
      </c>
    </row>
    <row r="48" spans="2:3">
      <c r="B48" t="s">
        <v>697</v>
      </c>
      <c r="C48" t="s">
        <v>698</v>
      </c>
    </row>
    <row r="49" spans="2:3">
      <c r="B49" t="s">
        <v>699</v>
      </c>
      <c r="C49" t="s">
        <v>700</v>
      </c>
    </row>
    <row r="50" spans="2:3">
      <c r="B50" t="s">
        <v>701</v>
      </c>
      <c r="C50" t="s">
        <v>702</v>
      </c>
    </row>
    <row r="51" spans="2:3">
      <c r="B51" t="s">
        <v>703</v>
      </c>
      <c r="C51" t="s">
        <v>704</v>
      </c>
    </row>
    <row r="52" spans="2:3">
      <c r="B52" t="s">
        <v>705</v>
      </c>
      <c r="C52" t="s">
        <v>706</v>
      </c>
    </row>
    <row r="53" spans="2:3">
      <c r="B53" t="s">
        <v>707</v>
      </c>
      <c r="C53" t="s">
        <v>708</v>
      </c>
    </row>
    <row r="54" spans="2:3">
      <c r="B54" t="s">
        <v>709</v>
      </c>
      <c r="C54" t="s">
        <v>710</v>
      </c>
    </row>
    <row r="55" spans="2:3">
      <c r="B55" t="s">
        <v>711</v>
      </c>
      <c r="C55" t="s">
        <v>712</v>
      </c>
    </row>
    <row r="56" spans="2:3">
      <c r="B56" t="s">
        <v>713</v>
      </c>
      <c r="C56" t="s">
        <v>714</v>
      </c>
    </row>
    <row r="57" spans="2:3">
      <c r="B57" t="s">
        <v>715</v>
      </c>
      <c r="C57" t="s">
        <v>716</v>
      </c>
    </row>
    <row r="58" spans="2:3">
      <c r="B58" t="s">
        <v>717</v>
      </c>
      <c r="C58" t="s">
        <v>718</v>
      </c>
    </row>
    <row r="59" spans="2:3">
      <c r="B59" t="s">
        <v>719</v>
      </c>
      <c r="C59" t="s">
        <v>720</v>
      </c>
    </row>
    <row r="60" spans="2:3">
      <c r="B60" t="s">
        <v>721</v>
      </c>
      <c r="C60" t="s">
        <v>722</v>
      </c>
    </row>
    <row r="61" spans="2:3">
      <c r="B61" t="s">
        <v>723</v>
      </c>
      <c r="C61" t="s">
        <v>724</v>
      </c>
    </row>
    <row r="62" spans="2:3">
      <c r="B62" t="s">
        <v>725</v>
      </c>
      <c r="C62" t="s">
        <v>726</v>
      </c>
    </row>
    <row r="63" spans="2:3">
      <c r="B63" t="s">
        <v>727</v>
      </c>
      <c r="C63" t="s">
        <v>728</v>
      </c>
    </row>
    <row r="64" spans="2:3">
      <c r="B64" t="s">
        <v>729</v>
      </c>
      <c r="C64" t="s">
        <v>730</v>
      </c>
    </row>
    <row r="65" spans="2:3">
      <c r="B65" t="s">
        <v>731</v>
      </c>
      <c r="C65" t="s">
        <v>732</v>
      </c>
    </row>
    <row r="66" spans="2:3">
      <c r="B66" t="s">
        <v>325</v>
      </c>
      <c r="C66" t="s">
        <v>236</v>
      </c>
    </row>
    <row r="67" spans="2:3">
      <c r="B67" t="s">
        <v>733</v>
      </c>
      <c r="C67" t="s">
        <v>734</v>
      </c>
    </row>
    <row r="68" spans="2:3">
      <c r="B68" t="s">
        <v>735</v>
      </c>
      <c r="C68" t="s">
        <v>736</v>
      </c>
    </row>
    <row r="69" spans="2:3">
      <c r="B69" t="s">
        <v>737</v>
      </c>
      <c r="C69" t="s">
        <v>738</v>
      </c>
    </row>
    <row r="70" spans="2:3">
      <c r="B70" t="s">
        <v>739</v>
      </c>
      <c r="C70" t="s">
        <v>740</v>
      </c>
    </row>
    <row r="71" spans="2:3">
      <c r="B71" t="s">
        <v>741</v>
      </c>
      <c r="C71" t="s">
        <v>742</v>
      </c>
    </row>
    <row r="72" spans="2:3">
      <c r="B72" t="s">
        <v>743</v>
      </c>
      <c r="C72" t="s">
        <v>744</v>
      </c>
    </row>
    <row r="73" spans="2:3">
      <c r="B73" t="s">
        <v>745</v>
      </c>
      <c r="C73" t="s">
        <v>746</v>
      </c>
    </row>
    <row r="74" spans="2:3">
      <c r="B74" t="s">
        <v>747</v>
      </c>
      <c r="C74" t="s">
        <v>748</v>
      </c>
    </row>
    <row r="75" spans="2:3">
      <c r="B75" t="s">
        <v>310</v>
      </c>
      <c r="C75" t="s">
        <v>749</v>
      </c>
    </row>
    <row r="76" spans="2:3">
      <c r="B76" t="s">
        <v>312</v>
      </c>
      <c r="C76" t="s">
        <v>750</v>
      </c>
    </row>
    <row r="77" spans="2:3">
      <c r="B77" t="s">
        <v>314</v>
      </c>
      <c r="C77" t="s">
        <v>751</v>
      </c>
    </row>
    <row r="78" spans="2:3">
      <c r="B78">
        <v>10.65</v>
      </c>
      <c r="C78" t="s">
        <v>752</v>
      </c>
    </row>
    <row r="79" spans="2:3">
      <c r="B79">
        <v>11.67</v>
      </c>
      <c r="C79">
        <v>14.07</v>
      </c>
    </row>
    <row r="80" spans="2:3">
      <c r="B80">
        <v>12.79</v>
      </c>
      <c r="C80">
        <v>12.92</v>
      </c>
    </row>
    <row r="81" spans="2:3">
      <c r="B81">
        <v>14.02</v>
      </c>
      <c r="C81">
        <v>12.01</v>
      </c>
    </row>
    <row r="82" spans="2:3">
      <c r="B82" t="s">
        <v>320</v>
      </c>
      <c r="C82">
        <v>11.13</v>
      </c>
    </row>
    <row r="83" spans="2:3">
      <c r="B83" t="s">
        <v>322</v>
      </c>
      <c r="C83">
        <v>10.29</v>
      </c>
    </row>
    <row r="84" spans="2:3">
      <c r="B84" t="s">
        <v>324</v>
      </c>
      <c r="C84" t="s">
        <v>753</v>
      </c>
    </row>
    <row r="85" spans="2:3">
      <c r="B85" t="s">
        <v>326</v>
      </c>
      <c r="C85" t="s">
        <v>754</v>
      </c>
    </row>
    <row r="86" spans="2:3">
      <c r="B86" t="s">
        <v>328</v>
      </c>
      <c r="C86" t="s">
        <v>755</v>
      </c>
    </row>
    <row r="87" spans="2:3">
      <c r="B87" t="s">
        <v>330</v>
      </c>
      <c r="C87" t="s">
        <v>756</v>
      </c>
    </row>
    <row r="88" spans="2:3">
      <c r="B88" t="s">
        <v>332</v>
      </c>
      <c r="C88" t="s">
        <v>757</v>
      </c>
    </row>
    <row r="89" spans="2:3">
      <c r="B89" t="s">
        <v>334</v>
      </c>
      <c r="C89" t="s">
        <v>758</v>
      </c>
    </row>
    <row r="90" spans="2:3">
      <c r="B90" t="s">
        <v>336</v>
      </c>
      <c r="C90" t="s">
        <v>759</v>
      </c>
    </row>
    <row r="91" spans="2:3">
      <c r="B91" t="s">
        <v>338</v>
      </c>
      <c r="C91" t="s">
        <v>760</v>
      </c>
    </row>
    <row r="92" spans="2:3">
      <c r="B92" t="s">
        <v>340</v>
      </c>
      <c r="C92" t="s">
        <v>761</v>
      </c>
    </row>
    <row r="93" spans="2:3">
      <c r="B93" t="s">
        <v>342</v>
      </c>
      <c r="C93" t="s">
        <v>762</v>
      </c>
    </row>
    <row r="94" spans="2:3">
      <c r="B94" t="s">
        <v>344</v>
      </c>
      <c r="C94" t="s">
        <v>763</v>
      </c>
    </row>
    <row r="95" spans="2:3">
      <c r="B95" t="s">
        <v>346</v>
      </c>
      <c r="C95" t="s">
        <v>764</v>
      </c>
    </row>
    <row r="96" spans="2:3">
      <c r="B96" t="s">
        <v>348</v>
      </c>
      <c r="C96" t="s">
        <v>765</v>
      </c>
    </row>
    <row r="97" spans="2:3">
      <c r="B97" t="s">
        <v>350</v>
      </c>
      <c r="C97" t="s">
        <v>526</v>
      </c>
    </row>
    <row r="98" spans="2:3">
      <c r="B98" t="s">
        <v>352</v>
      </c>
      <c r="C98" t="s">
        <v>766</v>
      </c>
    </row>
    <row r="99" spans="2:3">
      <c r="B99" t="s">
        <v>767</v>
      </c>
      <c r="C99" t="s">
        <v>768</v>
      </c>
    </row>
    <row r="100" spans="2:3">
      <c r="B100" t="s">
        <v>356</v>
      </c>
      <c r="C100" t="s">
        <v>769</v>
      </c>
    </row>
    <row r="101" spans="2:3">
      <c r="B101" t="s">
        <v>358</v>
      </c>
      <c r="C101" t="s">
        <v>770</v>
      </c>
    </row>
    <row r="102" spans="2:3">
      <c r="B102" t="s">
        <v>360</v>
      </c>
      <c r="C102" t="s">
        <v>771</v>
      </c>
    </row>
    <row r="103" spans="2:3">
      <c r="B103" t="s">
        <v>362</v>
      </c>
      <c r="C103" t="s">
        <v>534</v>
      </c>
    </row>
    <row r="104" spans="2:3">
      <c r="B104" t="s">
        <v>364</v>
      </c>
      <c r="C104" t="s">
        <v>772</v>
      </c>
    </row>
    <row r="105" spans="2:3">
      <c r="B105" t="s">
        <v>366</v>
      </c>
      <c r="C105" t="s">
        <v>773</v>
      </c>
    </row>
    <row r="106" spans="2:3">
      <c r="B106" t="s">
        <v>368</v>
      </c>
      <c r="C106" t="s">
        <v>774</v>
      </c>
    </row>
    <row r="107" spans="2:3">
      <c r="B107" t="s">
        <v>370</v>
      </c>
      <c r="C107" t="s">
        <v>775</v>
      </c>
    </row>
    <row r="108" spans="2:3">
      <c r="B108" t="s">
        <v>372</v>
      </c>
      <c r="C108" t="s">
        <v>776</v>
      </c>
    </row>
    <row r="109" spans="2:3">
      <c r="B109" t="s">
        <v>374</v>
      </c>
      <c r="C109" t="s">
        <v>777</v>
      </c>
    </row>
    <row r="110" spans="2:3">
      <c r="B110" t="s">
        <v>376</v>
      </c>
      <c r="C110" t="s">
        <v>778</v>
      </c>
    </row>
    <row r="111" spans="2:3">
      <c r="B111" t="s">
        <v>378</v>
      </c>
      <c r="C111" t="s">
        <v>779</v>
      </c>
    </row>
    <row r="112" spans="2:3">
      <c r="B112" t="s">
        <v>380</v>
      </c>
      <c r="C112" t="s">
        <v>780</v>
      </c>
    </row>
    <row r="113" spans="2:3">
      <c r="B113" t="s">
        <v>382</v>
      </c>
      <c r="C113" t="s">
        <v>551</v>
      </c>
    </row>
    <row r="114" spans="2:3">
      <c r="B114" t="s">
        <v>384</v>
      </c>
      <c r="C114" t="s">
        <v>781</v>
      </c>
    </row>
    <row r="115" spans="2:3">
      <c r="B115" t="s">
        <v>386</v>
      </c>
      <c r="C115" t="s">
        <v>782</v>
      </c>
    </row>
    <row r="116" spans="2:3">
      <c r="B116" t="s">
        <v>388</v>
      </c>
      <c r="C116" t="s">
        <v>783</v>
      </c>
    </row>
    <row r="117" spans="2:3">
      <c r="B117" t="s">
        <v>389</v>
      </c>
      <c r="C117" t="s">
        <v>784</v>
      </c>
    </row>
    <row r="118" spans="2:3">
      <c r="B118" t="s">
        <v>391</v>
      </c>
      <c r="C118" t="s">
        <v>785</v>
      </c>
    </row>
    <row r="119" spans="2:3">
      <c r="B119" t="s">
        <v>393</v>
      </c>
      <c r="C119" t="s">
        <v>786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C119"/>
  <sheetViews>
    <sheetView workbookViewId="0">
      <selection activeCell="B1" sqref="B1:C1048576"/>
    </sheetView>
  </sheetViews>
  <sheetFormatPr defaultRowHeight="14.25"/>
  <cols>
    <col min="1" max="1" width="11" customWidth="1"/>
  </cols>
  <sheetData>
    <row r="1" spans="2:3">
      <c r="B1" t="s">
        <v>171</v>
      </c>
      <c r="C1" s="199" t="s">
        <v>172</v>
      </c>
    </row>
    <row r="2" spans="2:3">
      <c r="B2" t="s">
        <v>787</v>
      </c>
      <c r="C2" t="s">
        <v>788</v>
      </c>
    </row>
    <row r="3" spans="2:3">
      <c r="B3" t="s">
        <v>789</v>
      </c>
      <c r="C3" t="s">
        <v>790</v>
      </c>
    </row>
    <row r="4" spans="2:3">
      <c r="B4" t="s">
        <v>791</v>
      </c>
      <c r="C4" t="s">
        <v>792</v>
      </c>
    </row>
    <row r="5" spans="2:3">
      <c r="B5" t="s">
        <v>793</v>
      </c>
      <c r="C5" t="s">
        <v>794</v>
      </c>
    </row>
    <row r="6" spans="2:3">
      <c r="B6" t="s">
        <v>795</v>
      </c>
      <c r="C6" t="s">
        <v>796</v>
      </c>
    </row>
    <row r="7" spans="2:3">
      <c r="B7" t="s">
        <v>797</v>
      </c>
      <c r="C7" t="s">
        <v>798</v>
      </c>
    </row>
    <row r="8" spans="2:3">
      <c r="B8" t="s">
        <v>799</v>
      </c>
      <c r="C8" t="s">
        <v>800</v>
      </c>
    </row>
    <row r="9" spans="2:3">
      <c r="B9" t="s">
        <v>801</v>
      </c>
      <c r="C9" t="s">
        <v>802</v>
      </c>
    </row>
    <row r="10" spans="2:3">
      <c r="B10" t="s">
        <v>803</v>
      </c>
      <c r="C10" t="s">
        <v>804</v>
      </c>
    </row>
    <row r="11" spans="2:3">
      <c r="B11" t="s">
        <v>805</v>
      </c>
      <c r="C11" t="s">
        <v>806</v>
      </c>
    </row>
    <row r="12" spans="2:3">
      <c r="B12" t="s">
        <v>807</v>
      </c>
      <c r="C12" t="s">
        <v>808</v>
      </c>
    </row>
    <row r="13" spans="2:3">
      <c r="B13" t="s">
        <v>809</v>
      </c>
      <c r="C13" t="s">
        <v>810</v>
      </c>
    </row>
    <row r="14" spans="2:3">
      <c r="B14" t="s">
        <v>811</v>
      </c>
      <c r="C14" t="s">
        <v>812</v>
      </c>
    </row>
    <row r="15" spans="2:3">
      <c r="B15" t="s">
        <v>813</v>
      </c>
      <c r="C15" t="s">
        <v>370</v>
      </c>
    </row>
    <row r="16" spans="2:3">
      <c r="B16" t="s">
        <v>814</v>
      </c>
      <c r="C16" t="s">
        <v>815</v>
      </c>
    </row>
    <row r="17" spans="2:3">
      <c r="B17" t="s">
        <v>816</v>
      </c>
      <c r="C17" t="s">
        <v>817</v>
      </c>
    </row>
    <row r="18" spans="2:3">
      <c r="B18" t="s">
        <v>818</v>
      </c>
      <c r="C18" t="s">
        <v>819</v>
      </c>
    </row>
    <row r="19" spans="2:3">
      <c r="B19" t="s">
        <v>820</v>
      </c>
      <c r="C19" t="s">
        <v>821</v>
      </c>
    </row>
    <row r="20" spans="2:3">
      <c r="B20" t="s">
        <v>822</v>
      </c>
      <c r="C20" t="s">
        <v>823</v>
      </c>
    </row>
    <row r="21" spans="2:3">
      <c r="B21" t="s">
        <v>824</v>
      </c>
      <c r="C21" t="s">
        <v>825</v>
      </c>
    </row>
    <row r="22" spans="2:3">
      <c r="B22" t="s">
        <v>826</v>
      </c>
      <c r="C22" t="s">
        <v>827</v>
      </c>
    </row>
    <row r="23" spans="2:3">
      <c r="B23" t="s">
        <v>828</v>
      </c>
      <c r="C23" t="s">
        <v>829</v>
      </c>
    </row>
    <row r="24" spans="2:3">
      <c r="B24" t="s">
        <v>830</v>
      </c>
      <c r="C24" t="s">
        <v>831</v>
      </c>
    </row>
    <row r="25" spans="2:3">
      <c r="B25" t="s">
        <v>832</v>
      </c>
      <c r="C25" t="s">
        <v>833</v>
      </c>
    </row>
    <row r="26" spans="2:3">
      <c r="B26" t="s">
        <v>834</v>
      </c>
      <c r="C26" t="s">
        <v>835</v>
      </c>
    </row>
    <row r="27" spans="2:3">
      <c r="B27" t="s">
        <v>836</v>
      </c>
      <c r="C27" t="s">
        <v>366</v>
      </c>
    </row>
    <row r="28" spans="2:3">
      <c r="B28" t="s">
        <v>837</v>
      </c>
      <c r="C28" t="s">
        <v>838</v>
      </c>
    </row>
    <row r="29" spans="2:3">
      <c r="B29" t="s">
        <v>839</v>
      </c>
      <c r="C29" t="s">
        <v>840</v>
      </c>
    </row>
    <row r="30" spans="2:3">
      <c r="B30" t="s">
        <v>841</v>
      </c>
      <c r="C30" t="s">
        <v>842</v>
      </c>
    </row>
    <row r="31" spans="2:3">
      <c r="B31" t="s">
        <v>664</v>
      </c>
      <c r="C31" t="s">
        <v>843</v>
      </c>
    </row>
    <row r="32" spans="2:3">
      <c r="B32" t="s">
        <v>233</v>
      </c>
      <c r="C32" t="s">
        <v>844</v>
      </c>
    </row>
    <row r="33" spans="2:3">
      <c r="B33" t="s">
        <v>845</v>
      </c>
      <c r="C33" t="s">
        <v>846</v>
      </c>
    </row>
    <row r="34" spans="2:3">
      <c r="B34" t="s">
        <v>847</v>
      </c>
      <c r="C34" t="s">
        <v>848</v>
      </c>
    </row>
    <row r="35" spans="2:3">
      <c r="B35" t="s">
        <v>849</v>
      </c>
      <c r="C35" t="s">
        <v>850</v>
      </c>
    </row>
    <row r="36" spans="2:3">
      <c r="B36" t="s">
        <v>851</v>
      </c>
      <c r="C36" t="s">
        <v>852</v>
      </c>
    </row>
    <row r="37" spans="2:3">
      <c r="B37" t="s">
        <v>853</v>
      </c>
      <c r="C37" t="s">
        <v>854</v>
      </c>
    </row>
    <row r="38" spans="2:3">
      <c r="B38" t="s">
        <v>855</v>
      </c>
      <c r="C38" t="s">
        <v>856</v>
      </c>
    </row>
    <row r="39" spans="2:3">
      <c r="B39" t="s">
        <v>857</v>
      </c>
      <c r="C39" t="s">
        <v>858</v>
      </c>
    </row>
    <row r="40" spans="2:3">
      <c r="B40" t="s">
        <v>859</v>
      </c>
      <c r="C40" t="s">
        <v>860</v>
      </c>
    </row>
    <row r="41" spans="2:3">
      <c r="B41" t="s">
        <v>861</v>
      </c>
      <c r="C41" t="s">
        <v>862</v>
      </c>
    </row>
    <row r="42" spans="2:3">
      <c r="B42" t="s">
        <v>863</v>
      </c>
      <c r="C42" t="s">
        <v>864</v>
      </c>
    </row>
    <row r="43" spans="2:3">
      <c r="B43" t="s">
        <v>865</v>
      </c>
      <c r="C43" t="s">
        <v>866</v>
      </c>
    </row>
    <row r="44" spans="2:3">
      <c r="B44" t="s">
        <v>689</v>
      </c>
      <c r="C44" t="s">
        <v>867</v>
      </c>
    </row>
    <row r="45" spans="2:3">
      <c r="B45" t="s">
        <v>868</v>
      </c>
      <c r="C45" t="s">
        <v>869</v>
      </c>
    </row>
    <row r="46" spans="2:3">
      <c r="B46" t="s">
        <v>870</v>
      </c>
      <c r="C46" t="s">
        <v>871</v>
      </c>
    </row>
    <row r="47" spans="2:3">
      <c r="B47" t="s">
        <v>872</v>
      </c>
      <c r="C47" t="s">
        <v>873</v>
      </c>
    </row>
    <row r="48" spans="2:3">
      <c r="B48" t="s">
        <v>874</v>
      </c>
      <c r="C48" t="s">
        <v>875</v>
      </c>
    </row>
    <row r="49" spans="2:3">
      <c r="B49" t="s">
        <v>876</v>
      </c>
      <c r="C49" t="s">
        <v>877</v>
      </c>
    </row>
    <row r="50" spans="2:3">
      <c r="B50" t="s">
        <v>878</v>
      </c>
      <c r="C50" t="s">
        <v>879</v>
      </c>
    </row>
    <row r="51" spans="2:3">
      <c r="B51" t="s">
        <v>880</v>
      </c>
      <c r="C51" t="s">
        <v>881</v>
      </c>
    </row>
    <row r="52" spans="2:3">
      <c r="B52" t="s">
        <v>882</v>
      </c>
      <c r="C52" t="s">
        <v>883</v>
      </c>
    </row>
    <row r="53" spans="2:3">
      <c r="B53" t="s">
        <v>707</v>
      </c>
      <c r="C53" t="s">
        <v>884</v>
      </c>
    </row>
    <row r="54" spans="2:3">
      <c r="B54" t="s">
        <v>885</v>
      </c>
      <c r="C54" t="s">
        <v>886</v>
      </c>
    </row>
    <row r="55" spans="2:3">
      <c r="B55" t="s">
        <v>711</v>
      </c>
      <c r="C55" t="s">
        <v>887</v>
      </c>
    </row>
    <row r="56" spans="2:3">
      <c r="B56" t="s">
        <v>713</v>
      </c>
      <c r="C56" t="s">
        <v>888</v>
      </c>
    </row>
    <row r="57" spans="2:3">
      <c r="B57" t="s">
        <v>715</v>
      </c>
      <c r="C57" t="s">
        <v>889</v>
      </c>
    </row>
    <row r="58" spans="2:3">
      <c r="B58" t="s">
        <v>717</v>
      </c>
      <c r="C58" t="s">
        <v>890</v>
      </c>
    </row>
    <row r="59" spans="2:3">
      <c r="B59" t="s">
        <v>719</v>
      </c>
      <c r="C59" t="s">
        <v>891</v>
      </c>
    </row>
    <row r="60" spans="2:3">
      <c r="B60" t="s">
        <v>721</v>
      </c>
      <c r="C60" t="s">
        <v>892</v>
      </c>
    </row>
    <row r="61" spans="2:3">
      <c r="B61" t="s">
        <v>723</v>
      </c>
      <c r="C61" t="s">
        <v>893</v>
      </c>
    </row>
    <row r="62" spans="2:3">
      <c r="B62" t="s">
        <v>725</v>
      </c>
      <c r="C62" t="s">
        <v>894</v>
      </c>
    </row>
    <row r="63" spans="2:3">
      <c r="B63" t="s">
        <v>727</v>
      </c>
      <c r="C63" t="s">
        <v>895</v>
      </c>
    </row>
    <row r="64" spans="2:3">
      <c r="B64" t="s">
        <v>729</v>
      </c>
      <c r="C64" t="s">
        <v>896</v>
      </c>
    </row>
    <row r="65" spans="2:3">
      <c r="B65" t="s">
        <v>731</v>
      </c>
      <c r="C65" t="s">
        <v>897</v>
      </c>
    </row>
    <row r="66" spans="2:3">
      <c r="B66" t="s">
        <v>325</v>
      </c>
      <c r="C66" t="s">
        <v>898</v>
      </c>
    </row>
    <row r="67" spans="2:3">
      <c r="B67" t="s">
        <v>733</v>
      </c>
      <c r="C67" t="s">
        <v>899</v>
      </c>
    </row>
    <row r="68" spans="2:3">
      <c r="B68" t="s">
        <v>735</v>
      </c>
      <c r="C68" t="s">
        <v>900</v>
      </c>
    </row>
    <row r="69" spans="2:3">
      <c r="B69" t="s">
        <v>737</v>
      </c>
      <c r="C69" t="s">
        <v>901</v>
      </c>
    </row>
    <row r="70" spans="2:3">
      <c r="B70" t="s">
        <v>739</v>
      </c>
      <c r="C70" t="s">
        <v>902</v>
      </c>
    </row>
    <row r="71" spans="2:3">
      <c r="B71" t="s">
        <v>741</v>
      </c>
      <c r="C71" t="s">
        <v>903</v>
      </c>
    </row>
    <row r="72" spans="2:3">
      <c r="B72" t="s">
        <v>743</v>
      </c>
      <c r="C72" t="s">
        <v>904</v>
      </c>
    </row>
    <row r="73" spans="2:3">
      <c r="B73" t="s">
        <v>745</v>
      </c>
      <c r="C73" t="s">
        <v>905</v>
      </c>
    </row>
    <row r="74" spans="2:3">
      <c r="B74" t="s">
        <v>747</v>
      </c>
      <c r="C74" t="s">
        <v>906</v>
      </c>
    </row>
    <row r="75" spans="2:3">
      <c r="B75" t="s">
        <v>310</v>
      </c>
      <c r="C75" t="s">
        <v>907</v>
      </c>
    </row>
    <row r="76" spans="2:3">
      <c r="B76" t="s">
        <v>312</v>
      </c>
      <c r="C76" t="s">
        <v>908</v>
      </c>
    </row>
    <row r="77" spans="2:3">
      <c r="B77" t="s">
        <v>314</v>
      </c>
      <c r="C77" t="s">
        <v>909</v>
      </c>
    </row>
    <row r="78" spans="2:3">
      <c r="B78">
        <v>10.65</v>
      </c>
      <c r="C78" t="s">
        <v>910</v>
      </c>
    </row>
    <row r="79" spans="2:3">
      <c r="B79">
        <v>11.67</v>
      </c>
      <c r="C79" t="s">
        <v>911</v>
      </c>
    </row>
    <row r="80" spans="2:3">
      <c r="B80">
        <v>12.79</v>
      </c>
      <c r="C80" t="s">
        <v>912</v>
      </c>
    </row>
    <row r="81" spans="2:3">
      <c r="B81">
        <v>14.02</v>
      </c>
      <c r="C81" t="s">
        <v>913</v>
      </c>
    </row>
    <row r="82" spans="2:3">
      <c r="B82" t="s">
        <v>320</v>
      </c>
      <c r="C82" t="s">
        <v>914</v>
      </c>
    </row>
    <row r="83" spans="2:3">
      <c r="B83" t="s">
        <v>322</v>
      </c>
      <c r="C83" t="s">
        <v>915</v>
      </c>
    </row>
    <row r="84" spans="2:3">
      <c r="B84" t="s">
        <v>324</v>
      </c>
      <c r="C84">
        <v>12.78</v>
      </c>
    </row>
    <row r="85" spans="2:3">
      <c r="B85" t="s">
        <v>326</v>
      </c>
      <c r="C85">
        <v>11.92</v>
      </c>
    </row>
    <row r="86" spans="2:3">
      <c r="B86" t="s">
        <v>328</v>
      </c>
      <c r="C86">
        <v>11.14</v>
      </c>
    </row>
    <row r="87" spans="2:3">
      <c r="B87" t="s">
        <v>330</v>
      </c>
      <c r="C87">
        <v>10.4</v>
      </c>
    </row>
    <row r="88" spans="2:3">
      <c r="B88" t="s">
        <v>332</v>
      </c>
      <c r="C88" t="s">
        <v>916</v>
      </c>
    </row>
    <row r="89" spans="2:3">
      <c r="B89" t="s">
        <v>334</v>
      </c>
      <c r="C89" t="s">
        <v>917</v>
      </c>
    </row>
    <row r="90" spans="2:3">
      <c r="B90" t="s">
        <v>336</v>
      </c>
      <c r="C90" t="s">
        <v>918</v>
      </c>
    </row>
    <row r="91" spans="2:3">
      <c r="B91" t="s">
        <v>338</v>
      </c>
      <c r="C91" t="s">
        <v>919</v>
      </c>
    </row>
    <row r="92" spans="2:3">
      <c r="B92" t="s">
        <v>340</v>
      </c>
      <c r="C92" t="s">
        <v>920</v>
      </c>
    </row>
    <row r="93" spans="2:3">
      <c r="B93" t="s">
        <v>342</v>
      </c>
      <c r="C93" t="s">
        <v>921</v>
      </c>
    </row>
    <row r="94" spans="2:3">
      <c r="B94" t="s">
        <v>344</v>
      </c>
      <c r="C94" t="s">
        <v>922</v>
      </c>
    </row>
    <row r="95" spans="2:3">
      <c r="B95" t="s">
        <v>346</v>
      </c>
      <c r="C95" t="s">
        <v>923</v>
      </c>
    </row>
    <row r="96" spans="2:3">
      <c r="B96" t="s">
        <v>348</v>
      </c>
      <c r="C96" t="s">
        <v>924</v>
      </c>
    </row>
    <row r="97" spans="2:3">
      <c r="B97" t="s">
        <v>350</v>
      </c>
      <c r="C97" t="s">
        <v>925</v>
      </c>
    </row>
    <row r="98" spans="2:3">
      <c r="B98" t="s">
        <v>926</v>
      </c>
      <c r="C98" t="s">
        <v>927</v>
      </c>
    </row>
    <row r="99" spans="2:3">
      <c r="B99" t="s">
        <v>354</v>
      </c>
      <c r="C99" t="s">
        <v>928</v>
      </c>
    </row>
    <row r="100" spans="2:3">
      <c r="B100" t="s">
        <v>356</v>
      </c>
      <c r="C100" t="s">
        <v>929</v>
      </c>
    </row>
    <row r="101" spans="2:3">
      <c r="B101" t="s">
        <v>358</v>
      </c>
      <c r="C101" t="s">
        <v>930</v>
      </c>
    </row>
    <row r="102" spans="2:3">
      <c r="B102" t="s">
        <v>360</v>
      </c>
      <c r="C102" t="s">
        <v>931</v>
      </c>
    </row>
    <row r="103" spans="2:3">
      <c r="B103" t="s">
        <v>362</v>
      </c>
      <c r="C103" t="s">
        <v>932</v>
      </c>
    </row>
    <row r="104" spans="2:3">
      <c r="B104" t="s">
        <v>364</v>
      </c>
      <c r="C104" t="s">
        <v>933</v>
      </c>
    </row>
    <row r="105" spans="2:3">
      <c r="B105" t="s">
        <v>366</v>
      </c>
      <c r="C105" t="s">
        <v>934</v>
      </c>
    </row>
    <row r="106" spans="2:3">
      <c r="B106" t="s">
        <v>368</v>
      </c>
      <c r="C106" t="s">
        <v>935</v>
      </c>
    </row>
    <row r="107" spans="2:3">
      <c r="B107" t="s">
        <v>370</v>
      </c>
      <c r="C107" t="s">
        <v>936</v>
      </c>
    </row>
    <row r="108" spans="2:3">
      <c r="B108" t="s">
        <v>372</v>
      </c>
      <c r="C108" t="s">
        <v>937</v>
      </c>
    </row>
    <row r="109" spans="2:3">
      <c r="B109" t="s">
        <v>374</v>
      </c>
      <c r="C109" t="s">
        <v>938</v>
      </c>
    </row>
    <row r="110" spans="2:3">
      <c r="B110" t="s">
        <v>376</v>
      </c>
      <c r="C110" t="s">
        <v>939</v>
      </c>
    </row>
    <row r="111" spans="2:3">
      <c r="B111" t="s">
        <v>378</v>
      </c>
      <c r="C111" t="s">
        <v>774</v>
      </c>
    </row>
    <row r="112" spans="2:3">
      <c r="B112" t="s">
        <v>380</v>
      </c>
      <c r="C112" t="s">
        <v>940</v>
      </c>
    </row>
    <row r="113" spans="2:3">
      <c r="B113" t="s">
        <v>382</v>
      </c>
      <c r="C113" t="s">
        <v>941</v>
      </c>
    </row>
    <row r="114" spans="2:3">
      <c r="B114" t="s">
        <v>384</v>
      </c>
      <c r="C114" t="s">
        <v>942</v>
      </c>
    </row>
    <row r="115" spans="2:3">
      <c r="B115" t="s">
        <v>386</v>
      </c>
      <c r="C115" t="s">
        <v>943</v>
      </c>
    </row>
    <row r="116" spans="2:3">
      <c r="B116" t="s">
        <v>388</v>
      </c>
      <c r="C116" t="s">
        <v>944</v>
      </c>
    </row>
    <row r="117" spans="2:3">
      <c r="B117" t="s">
        <v>389</v>
      </c>
      <c r="C117" t="s">
        <v>945</v>
      </c>
    </row>
    <row r="118" spans="2:3">
      <c r="B118" t="s">
        <v>391</v>
      </c>
      <c r="C118" t="s">
        <v>946</v>
      </c>
    </row>
    <row r="119" spans="2:3">
      <c r="B119" t="s">
        <v>393</v>
      </c>
      <c r="C119" t="s">
        <v>947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C119"/>
  <sheetViews>
    <sheetView workbookViewId="0">
      <selection activeCell="B1" sqref="B1:C1048576"/>
    </sheetView>
  </sheetViews>
  <sheetFormatPr defaultRowHeight="14.25"/>
  <sheetData>
    <row r="1" spans="2:3">
      <c r="B1" t="s">
        <v>171</v>
      </c>
      <c r="C1" s="199" t="s">
        <v>172</v>
      </c>
    </row>
    <row r="2" spans="2:3">
      <c r="B2" t="s">
        <v>948</v>
      </c>
      <c r="C2" t="s">
        <v>949</v>
      </c>
    </row>
    <row r="3" spans="2:3">
      <c r="B3" t="s">
        <v>950</v>
      </c>
      <c r="C3" t="s">
        <v>951</v>
      </c>
    </row>
    <row r="4" spans="2:3">
      <c r="B4" t="s">
        <v>952</v>
      </c>
      <c r="C4" t="s">
        <v>953</v>
      </c>
    </row>
    <row r="5" spans="2:3">
      <c r="B5" t="s">
        <v>954</v>
      </c>
      <c r="C5" t="s">
        <v>955</v>
      </c>
    </row>
    <row r="6" spans="2:3">
      <c r="B6" t="s">
        <v>956</v>
      </c>
      <c r="C6" t="s">
        <v>957</v>
      </c>
    </row>
    <row r="7" spans="2:3">
      <c r="B7" t="s">
        <v>958</v>
      </c>
      <c r="C7" t="s">
        <v>959</v>
      </c>
    </row>
    <row r="8" spans="2:3">
      <c r="B8" t="s">
        <v>960</v>
      </c>
      <c r="C8" t="s">
        <v>961</v>
      </c>
    </row>
    <row r="9" spans="2:3">
      <c r="B9" t="s">
        <v>962</v>
      </c>
      <c r="C9" t="s">
        <v>963</v>
      </c>
    </row>
    <row r="10" spans="2:3">
      <c r="B10" t="s">
        <v>964</v>
      </c>
      <c r="C10" t="s">
        <v>965</v>
      </c>
    </row>
    <row r="11" spans="2:3">
      <c r="B11" t="s">
        <v>966</v>
      </c>
      <c r="C11" t="s">
        <v>967</v>
      </c>
    </row>
    <row r="12" spans="2:3">
      <c r="B12" t="s">
        <v>968</v>
      </c>
      <c r="C12" t="s">
        <v>969</v>
      </c>
    </row>
    <row r="13" spans="2:3">
      <c r="B13" t="s">
        <v>970</v>
      </c>
      <c r="C13" t="s">
        <v>971</v>
      </c>
    </row>
    <row r="14" spans="2:3">
      <c r="B14" t="s">
        <v>972</v>
      </c>
      <c r="C14" t="s">
        <v>973</v>
      </c>
    </row>
    <row r="15" spans="2:3">
      <c r="B15" t="s">
        <v>974</v>
      </c>
      <c r="C15" t="s">
        <v>975</v>
      </c>
    </row>
    <row r="16" spans="2:3">
      <c r="B16" t="s">
        <v>976</v>
      </c>
      <c r="C16" t="s">
        <v>977</v>
      </c>
    </row>
    <row r="17" spans="2:3">
      <c r="B17" t="s">
        <v>978</v>
      </c>
      <c r="C17" t="s">
        <v>979</v>
      </c>
    </row>
    <row r="18" spans="2:3">
      <c r="B18" t="s">
        <v>980</v>
      </c>
      <c r="C18" t="s">
        <v>981</v>
      </c>
    </row>
    <row r="19" spans="2:3">
      <c r="B19" t="s">
        <v>982</v>
      </c>
      <c r="C19" t="s">
        <v>983</v>
      </c>
    </row>
    <row r="20" spans="2:3">
      <c r="B20" t="s">
        <v>984</v>
      </c>
      <c r="C20" t="s">
        <v>985</v>
      </c>
    </row>
    <row r="21" spans="2:3">
      <c r="B21" t="s">
        <v>986</v>
      </c>
      <c r="C21" t="s">
        <v>987</v>
      </c>
    </row>
    <row r="22" spans="2:3">
      <c r="B22" t="s">
        <v>646</v>
      </c>
      <c r="C22" t="s">
        <v>988</v>
      </c>
    </row>
    <row r="23" spans="2:3">
      <c r="B23" t="s">
        <v>989</v>
      </c>
      <c r="C23" t="s">
        <v>990</v>
      </c>
    </row>
    <row r="24" spans="2:3">
      <c r="B24" t="s">
        <v>991</v>
      </c>
      <c r="C24" t="s">
        <v>992</v>
      </c>
    </row>
    <row r="25" spans="2:3">
      <c r="B25" t="s">
        <v>993</v>
      </c>
      <c r="C25" t="s">
        <v>994</v>
      </c>
    </row>
    <row r="26" spans="2:3">
      <c r="B26" t="s">
        <v>995</v>
      </c>
      <c r="C26" t="s">
        <v>996</v>
      </c>
    </row>
    <row r="27" spans="2:3">
      <c r="B27" t="s">
        <v>997</v>
      </c>
      <c r="C27" t="s">
        <v>998</v>
      </c>
    </row>
    <row r="28" spans="2:3">
      <c r="B28" t="s">
        <v>837</v>
      </c>
      <c r="C28" t="s">
        <v>999</v>
      </c>
    </row>
    <row r="29" spans="2:3">
      <c r="B29" t="s">
        <v>1000</v>
      </c>
      <c r="C29" t="s">
        <v>1001</v>
      </c>
    </row>
    <row r="30" spans="2:3">
      <c r="B30" t="s">
        <v>1002</v>
      </c>
      <c r="C30" t="s">
        <v>1003</v>
      </c>
    </row>
    <row r="31" spans="2:3">
      <c r="B31" t="s">
        <v>1004</v>
      </c>
      <c r="C31" t="s">
        <v>1005</v>
      </c>
    </row>
    <row r="32" spans="2:3">
      <c r="B32" t="s">
        <v>1006</v>
      </c>
      <c r="C32" t="s">
        <v>1007</v>
      </c>
    </row>
    <row r="33" spans="2:3">
      <c r="B33" t="s">
        <v>1008</v>
      </c>
      <c r="C33" t="s">
        <v>1009</v>
      </c>
    </row>
    <row r="34" spans="2:3">
      <c r="B34" t="s">
        <v>1010</v>
      </c>
      <c r="C34" t="s">
        <v>1011</v>
      </c>
    </row>
    <row r="35" spans="2:3">
      <c r="B35" t="s">
        <v>1012</v>
      </c>
      <c r="C35" t="s">
        <v>1013</v>
      </c>
    </row>
    <row r="36" spans="2:3">
      <c r="B36" t="s">
        <v>1014</v>
      </c>
      <c r="C36" t="s">
        <v>1015</v>
      </c>
    </row>
    <row r="37" spans="2:3">
      <c r="B37" t="s">
        <v>1016</v>
      </c>
      <c r="C37" t="s">
        <v>1017</v>
      </c>
    </row>
    <row r="38" spans="2:3">
      <c r="B38" t="s">
        <v>1018</v>
      </c>
      <c r="C38" t="s">
        <v>1019</v>
      </c>
    </row>
    <row r="39" spans="2:3">
      <c r="B39" t="s">
        <v>1020</v>
      </c>
      <c r="C39" t="s">
        <v>1021</v>
      </c>
    </row>
    <row r="40" spans="2:3">
      <c r="B40" t="s">
        <v>1022</v>
      </c>
      <c r="C40" t="s">
        <v>1023</v>
      </c>
    </row>
    <row r="41" spans="2:3">
      <c r="B41" t="s">
        <v>1024</v>
      </c>
      <c r="C41" t="s">
        <v>1025</v>
      </c>
    </row>
    <row r="42" spans="2:3">
      <c r="B42" t="s">
        <v>1026</v>
      </c>
      <c r="C42" t="s">
        <v>1027</v>
      </c>
    </row>
    <row r="43" spans="2:3">
      <c r="B43" t="s">
        <v>1028</v>
      </c>
      <c r="C43" t="s">
        <v>1029</v>
      </c>
    </row>
    <row r="44" spans="2:3">
      <c r="B44" t="s">
        <v>1030</v>
      </c>
      <c r="C44" t="s">
        <v>1031</v>
      </c>
    </row>
    <row r="45" spans="2:3">
      <c r="B45" t="s">
        <v>1032</v>
      </c>
      <c r="C45" t="s">
        <v>1033</v>
      </c>
    </row>
    <row r="46" spans="2:3">
      <c r="B46" t="s">
        <v>1034</v>
      </c>
      <c r="C46" t="s">
        <v>1035</v>
      </c>
    </row>
    <row r="47" spans="2:3">
      <c r="B47" t="s">
        <v>1036</v>
      </c>
      <c r="C47" t="s">
        <v>1037</v>
      </c>
    </row>
    <row r="48" spans="2:3">
      <c r="B48" t="s">
        <v>1038</v>
      </c>
      <c r="C48" t="s">
        <v>1039</v>
      </c>
    </row>
    <row r="49" spans="2:3">
      <c r="B49" t="s">
        <v>1040</v>
      </c>
      <c r="C49" t="s">
        <v>1041</v>
      </c>
    </row>
    <row r="50" spans="2:3">
      <c r="B50" t="s">
        <v>1042</v>
      </c>
      <c r="C50" t="s">
        <v>1043</v>
      </c>
    </row>
    <row r="51" spans="2:3">
      <c r="B51" t="s">
        <v>1044</v>
      </c>
      <c r="C51" t="s">
        <v>1045</v>
      </c>
    </row>
    <row r="52" spans="2:3">
      <c r="B52" t="s">
        <v>1046</v>
      </c>
      <c r="C52" t="s">
        <v>1047</v>
      </c>
    </row>
    <row r="53" spans="2:3">
      <c r="B53" t="s">
        <v>1048</v>
      </c>
      <c r="C53" t="s">
        <v>1049</v>
      </c>
    </row>
    <row r="54" spans="2:3">
      <c r="B54" t="s">
        <v>709</v>
      </c>
      <c r="C54" t="s">
        <v>1050</v>
      </c>
    </row>
    <row r="55" spans="2:3">
      <c r="B55" t="s">
        <v>711</v>
      </c>
      <c r="C55" t="s">
        <v>1051</v>
      </c>
    </row>
    <row r="56" spans="2:3">
      <c r="B56" t="s">
        <v>713</v>
      </c>
      <c r="C56" t="s">
        <v>1052</v>
      </c>
    </row>
    <row r="57" spans="2:3">
      <c r="B57" t="s">
        <v>715</v>
      </c>
      <c r="C57" t="s">
        <v>1053</v>
      </c>
    </row>
    <row r="58" spans="2:3">
      <c r="B58" t="s">
        <v>717</v>
      </c>
      <c r="C58" t="s">
        <v>1054</v>
      </c>
    </row>
    <row r="59" spans="2:3">
      <c r="B59" t="s">
        <v>719</v>
      </c>
      <c r="C59" t="s">
        <v>1055</v>
      </c>
    </row>
    <row r="60" spans="2:3">
      <c r="B60" t="s">
        <v>721</v>
      </c>
      <c r="C60" t="s">
        <v>1056</v>
      </c>
    </row>
    <row r="61" spans="2:3">
      <c r="B61" t="s">
        <v>723</v>
      </c>
      <c r="C61" t="s">
        <v>1057</v>
      </c>
    </row>
    <row r="62" spans="2:3">
      <c r="B62" t="s">
        <v>725</v>
      </c>
      <c r="C62" t="s">
        <v>1058</v>
      </c>
    </row>
    <row r="63" spans="2:3">
      <c r="B63" t="s">
        <v>727</v>
      </c>
      <c r="C63" t="s">
        <v>1059</v>
      </c>
    </row>
    <row r="64" spans="2:3">
      <c r="B64" t="s">
        <v>729</v>
      </c>
      <c r="C64" t="s">
        <v>1060</v>
      </c>
    </row>
    <row r="65" spans="2:3">
      <c r="B65" t="s">
        <v>731</v>
      </c>
      <c r="C65" t="s">
        <v>1061</v>
      </c>
    </row>
    <row r="66" spans="2:3">
      <c r="B66" t="s">
        <v>325</v>
      </c>
      <c r="C66" t="s">
        <v>1062</v>
      </c>
    </row>
    <row r="67" spans="2:3">
      <c r="B67" t="s">
        <v>733</v>
      </c>
      <c r="C67" t="s">
        <v>1063</v>
      </c>
    </row>
    <row r="68" spans="2:3">
      <c r="B68" t="s">
        <v>735</v>
      </c>
      <c r="C68" t="s">
        <v>336</v>
      </c>
    </row>
    <row r="69" spans="2:3">
      <c r="B69" t="s">
        <v>737</v>
      </c>
      <c r="C69">
        <v>30.09</v>
      </c>
    </row>
    <row r="70" spans="2:3">
      <c r="B70" t="s">
        <v>739</v>
      </c>
      <c r="C70" t="s">
        <v>1064</v>
      </c>
    </row>
    <row r="71" spans="2:3">
      <c r="B71" t="s">
        <v>741</v>
      </c>
      <c r="C71" t="s">
        <v>1065</v>
      </c>
    </row>
    <row r="72" spans="2:3">
      <c r="B72" t="s">
        <v>743</v>
      </c>
      <c r="C72" t="s">
        <v>744</v>
      </c>
    </row>
    <row r="73" spans="2:3">
      <c r="B73" t="s">
        <v>745</v>
      </c>
      <c r="C73" t="s">
        <v>1066</v>
      </c>
    </row>
    <row r="74" spans="2:3">
      <c r="B74" t="s">
        <v>747</v>
      </c>
      <c r="C74" t="s">
        <v>1067</v>
      </c>
    </row>
    <row r="75" spans="2:3">
      <c r="B75" t="s">
        <v>310</v>
      </c>
      <c r="C75" t="s">
        <v>1068</v>
      </c>
    </row>
    <row r="76" spans="2:3">
      <c r="B76" t="s">
        <v>312</v>
      </c>
      <c r="C76" t="s">
        <v>1069</v>
      </c>
    </row>
    <row r="77" spans="2:3">
      <c r="B77" t="s">
        <v>314</v>
      </c>
      <c r="C77" t="s">
        <v>270</v>
      </c>
    </row>
    <row r="78" spans="2:3">
      <c r="B78">
        <v>10.65</v>
      </c>
      <c r="C78" t="s">
        <v>1070</v>
      </c>
    </row>
    <row r="79" spans="2:3">
      <c r="B79">
        <v>11.67</v>
      </c>
      <c r="C79" t="s">
        <v>1071</v>
      </c>
    </row>
    <row r="80" spans="2:3">
      <c r="B80">
        <v>12.79</v>
      </c>
      <c r="C80" t="s">
        <v>1072</v>
      </c>
    </row>
    <row r="81" spans="2:3">
      <c r="B81">
        <v>14.12</v>
      </c>
      <c r="C81" t="s">
        <v>1073</v>
      </c>
    </row>
    <row r="82" spans="2:3">
      <c r="B82" t="s">
        <v>320</v>
      </c>
      <c r="C82">
        <v>12.4</v>
      </c>
    </row>
    <row r="83" spans="2:3">
      <c r="B83" t="s">
        <v>322</v>
      </c>
      <c r="C83">
        <v>11.44</v>
      </c>
    </row>
    <row r="84" spans="2:3">
      <c r="B84" t="s">
        <v>324</v>
      </c>
      <c r="C84">
        <v>10.56</v>
      </c>
    </row>
    <row r="85" spans="2:3">
      <c r="B85" t="s">
        <v>326</v>
      </c>
      <c r="C85" t="s">
        <v>1074</v>
      </c>
    </row>
    <row r="86" spans="2:3">
      <c r="B86" t="s">
        <v>328</v>
      </c>
      <c r="C86" t="s">
        <v>1075</v>
      </c>
    </row>
    <row r="87" spans="2:3">
      <c r="B87" t="s">
        <v>330</v>
      </c>
      <c r="C87" t="s">
        <v>1076</v>
      </c>
    </row>
    <row r="88" spans="2:3">
      <c r="B88" t="s">
        <v>332</v>
      </c>
      <c r="C88" t="s">
        <v>1077</v>
      </c>
    </row>
    <row r="89" spans="2:3">
      <c r="B89" t="s">
        <v>334</v>
      </c>
      <c r="C89" t="s">
        <v>1078</v>
      </c>
    </row>
    <row r="90" spans="2:3">
      <c r="B90" t="s">
        <v>336</v>
      </c>
      <c r="C90" t="s">
        <v>1079</v>
      </c>
    </row>
    <row r="91" spans="2:3">
      <c r="B91" t="s">
        <v>338</v>
      </c>
      <c r="C91" t="s">
        <v>1080</v>
      </c>
    </row>
    <row r="92" spans="2:3">
      <c r="B92" t="s">
        <v>340</v>
      </c>
      <c r="C92" t="s">
        <v>1081</v>
      </c>
    </row>
    <row r="93" spans="2:3">
      <c r="B93" t="s">
        <v>342</v>
      </c>
      <c r="C93" t="s">
        <v>1082</v>
      </c>
    </row>
    <row r="94" spans="2:3">
      <c r="B94" t="s">
        <v>344</v>
      </c>
      <c r="C94" t="s">
        <v>1083</v>
      </c>
    </row>
    <row r="95" spans="2:3">
      <c r="B95" t="s">
        <v>346</v>
      </c>
      <c r="C95" t="s">
        <v>1084</v>
      </c>
    </row>
    <row r="96" spans="2:3">
      <c r="B96" t="s">
        <v>348</v>
      </c>
      <c r="C96" t="s">
        <v>1085</v>
      </c>
    </row>
    <row r="97" spans="2:3">
      <c r="B97" t="s">
        <v>350</v>
      </c>
      <c r="C97" t="s">
        <v>1086</v>
      </c>
    </row>
    <row r="98" spans="2:3">
      <c r="B98" t="s">
        <v>352</v>
      </c>
      <c r="C98" t="s">
        <v>1087</v>
      </c>
    </row>
    <row r="99" spans="2:3">
      <c r="B99" t="s">
        <v>354</v>
      </c>
      <c r="C99" t="s">
        <v>1088</v>
      </c>
    </row>
    <row r="100" spans="2:3">
      <c r="B100" t="s">
        <v>356</v>
      </c>
      <c r="C100" t="s">
        <v>1089</v>
      </c>
    </row>
    <row r="101" spans="2:3">
      <c r="B101" t="s">
        <v>358</v>
      </c>
      <c r="C101" t="s">
        <v>1090</v>
      </c>
    </row>
    <row r="102" spans="2:3">
      <c r="B102" t="s">
        <v>360</v>
      </c>
      <c r="C102" t="s">
        <v>1091</v>
      </c>
    </row>
    <row r="103" spans="2:3">
      <c r="B103" t="s">
        <v>362</v>
      </c>
      <c r="C103" t="s">
        <v>534</v>
      </c>
    </row>
    <row r="104" spans="2:3">
      <c r="B104" t="s">
        <v>364</v>
      </c>
      <c r="C104" t="s">
        <v>1092</v>
      </c>
    </row>
    <row r="105" spans="2:3">
      <c r="B105" t="s">
        <v>366</v>
      </c>
      <c r="C105" t="s">
        <v>1093</v>
      </c>
    </row>
    <row r="106" spans="2:3">
      <c r="B106" t="s">
        <v>368</v>
      </c>
      <c r="C106" t="s">
        <v>1094</v>
      </c>
    </row>
    <row r="107" spans="2:3">
      <c r="B107" t="s">
        <v>370</v>
      </c>
      <c r="C107" t="s">
        <v>1095</v>
      </c>
    </row>
    <row r="108" spans="2:3">
      <c r="B108" t="s">
        <v>372</v>
      </c>
      <c r="C108" t="s">
        <v>1096</v>
      </c>
    </row>
    <row r="109" spans="2:3">
      <c r="B109" t="s">
        <v>374</v>
      </c>
      <c r="C109" t="s">
        <v>1097</v>
      </c>
    </row>
    <row r="110" spans="2:3">
      <c r="B110" t="s">
        <v>376</v>
      </c>
      <c r="C110" t="s">
        <v>1098</v>
      </c>
    </row>
    <row r="111" spans="2:3">
      <c r="B111" t="s">
        <v>378</v>
      </c>
      <c r="C111" t="s">
        <v>1099</v>
      </c>
    </row>
    <row r="112" spans="2:3">
      <c r="B112" t="s">
        <v>380</v>
      </c>
      <c r="C112" t="s">
        <v>1100</v>
      </c>
    </row>
    <row r="113" spans="2:3">
      <c r="B113" t="s">
        <v>382</v>
      </c>
      <c r="C113" t="s">
        <v>1101</v>
      </c>
    </row>
    <row r="114" spans="2:3">
      <c r="B114" t="s">
        <v>384</v>
      </c>
      <c r="C114" t="s">
        <v>1102</v>
      </c>
    </row>
    <row r="115" spans="2:3">
      <c r="B115" t="s">
        <v>386</v>
      </c>
      <c r="C115" t="s">
        <v>1103</v>
      </c>
    </row>
    <row r="116" spans="2:3">
      <c r="B116" t="s">
        <v>388</v>
      </c>
      <c r="C116" t="s">
        <v>1104</v>
      </c>
    </row>
    <row r="117" spans="2:3">
      <c r="B117" t="s">
        <v>389</v>
      </c>
      <c r="C117" t="s">
        <v>1105</v>
      </c>
    </row>
    <row r="118" spans="2:3">
      <c r="B118" t="s">
        <v>391</v>
      </c>
      <c r="C118" t="s">
        <v>1106</v>
      </c>
    </row>
    <row r="119" spans="2:3">
      <c r="B119" t="s">
        <v>393</v>
      </c>
      <c r="C119" t="s">
        <v>1107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119"/>
  <sheetViews>
    <sheetView tabSelected="1" workbookViewId="0">
      <selection activeCell="I14" sqref="I14"/>
    </sheetView>
  </sheetViews>
  <sheetFormatPr defaultRowHeight="14.25"/>
  <cols>
    <col min="2" max="2" width="9.25" bestFit="1" customWidth="1"/>
    <col min="3" max="3" width="15.125" customWidth="1"/>
    <col min="5" max="5" width="10.375" style="199" bestFit="1" customWidth="1"/>
  </cols>
  <sheetData>
    <row r="1" spans="2:5">
      <c r="B1" t="s">
        <v>1113</v>
      </c>
      <c r="C1" s="199" t="s">
        <v>1114</v>
      </c>
      <c r="D1" t="s">
        <v>1109</v>
      </c>
      <c r="E1" s="199" t="s">
        <v>1110</v>
      </c>
    </row>
    <row r="2" spans="2:5">
      <c r="B2" t="s">
        <v>395</v>
      </c>
      <c r="C2" t="s">
        <v>396</v>
      </c>
      <c r="D2" t="s">
        <v>173</v>
      </c>
      <c r="E2" s="199" t="s">
        <v>174</v>
      </c>
    </row>
    <row r="3" spans="2:5">
      <c r="B3" t="s">
        <v>397</v>
      </c>
      <c r="C3" t="s">
        <v>398</v>
      </c>
      <c r="D3" t="s">
        <v>175</v>
      </c>
      <c r="E3" s="199" t="s">
        <v>176</v>
      </c>
    </row>
    <row r="4" spans="2:5">
      <c r="B4" t="s">
        <v>399</v>
      </c>
      <c r="C4" t="s">
        <v>400</v>
      </c>
      <c r="D4" t="s">
        <v>177</v>
      </c>
      <c r="E4" s="199" t="s">
        <v>178</v>
      </c>
    </row>
    <row r="5" spans="2:5">
      <c r="B5" t="s">
        <v>401</v>
      </c>
      <c r="C5" t="s">
        <v>402</v>
      </c>
      <c r="D5" t="s">
        <v>179</v>
      </c>
      <c r="E5" s="199" t="s">
        <v>180</v>
      </c>
    </row>
    <row r="6" spans="2:5">
      <c r="B6" t="s">
        <v>403</v>
      </c>
      <c r="C6" t="s">
        <v>404</v>
      </c>
      <c r="D6" t="s">
        <v>181</v>
      </c>
      <c r="E6" s="199" t="s">
        <v>182</v>
      </c>
    </row>
    <row r="7" spans="2:5">
      <c r="B7" t="s">
        <v>405</v>
      </c>
      <c r="C7" t="s">
        <v>406</v>
      </c>
      <c r="D7" t="s">
        <v>183</v>
      </c>
      <c r="E7" s="199" t="s">
        <v>184</v>
      </c>
    </row>
    <row r="8" spans="2:5">
      <c r="B8" t="s">
        <v>407</v>
      </c>
      <c r="C8" t="s">
        <v>408</v>
      </c>
      <c r="D8" t="s">
        <v>185</v>
      </c>
      <c r="E8" s="199" t="s">
        <v>186</v>
      </c>
    </row>
    <row r="9" spans="2:5">
      <c r="B9" t="s">
        <v>409</v>
      </c>
      <c r="C9" t="s">
        <v>410</v>
      </c>
      <c r="D9" t="s">
        <v>187</v>
      </c>
      <c r="E9" s="199" t="s">
        <v>188</v>
      </c>
    </row>
    <row r="10" spans="2:5">
      <c r="B10" t="s">
        <v>411</v>
      </c>
      <c r="C10" t="s">
        <v>412</v>
      </c>
      <c r="D10" t="s">
        <v>189</v>
      </c>
      <c r="E10" s="199" t="s">
        <v>190</v>
      </c>
    </row>
    <row r="11" spans="2:5">
      <c r="B11" t="s">
        <v>413</v>
      </c>
      <c r="C11" t="s">
        <v>414</v>
      </c>
      <c r="D11" t="s">
        <v>191</v>
      </c>
      <c r="E11" s="199" t="s">
        <v>192</v>
      </c>
    </row>
    <row r="12" spans="2:5">
      <c r="B12" t="s">
        <v>415</v>
      </c>
      <c r="C12" t="s">
        <v>416</v>
      </c>
      <c r="D12" t="s">
        <v>193</v>
      </c>
      <c r="E12" s="199" t="s">
        <v>194</v>
      </c>
    </row>
    <row r="13" spans="2:5">
      <c r="B13" t="s">
        <v>417</v>
      </c>
      <c r="C13" t="s">
        <v>418</v>
      </c>
      <c r="D13" t="s">
        <v>195</v>
      </c>
      <c r="E13" s="199" t="s">
        <v>196</v>
      </c>
    </row>
    <row r="14" spans="2:5">
      <c r="B14" t="s">
        <v>419</v>
      </c>
      <c r="C14" t="s">
        <v>420</v>
      </c>
      <c r="D14" t="s">
        <v>197</v>
      </c>
      <c r="E14" s="199" t="s">
        <v>198</v>
      </c>
    </row>
    <row r="15" spans="2:5">
      <c r="B15" t="s">
        <v>421</v>
      </c>
      <c r="C15" t="s">
        <v>422</v>
      </c>
      <c r="D15" t="s">
        <v>199</v>
      </c>
      <c r="E15" s="199" t="s">
        <v>200</v>
      </c>
    </row>
    <row r="16" spans="2:5">
      <c r="B16" t="s">
        <v>423</v>
      </c>
      <c r="C16" t="s">
        <v>424</v>
      </c>
      <c r="D16" t="s">
        <v>201</v>
      </c>
      <c r="E16" s="199" t="s">
        <v>202</v>
      </c>
    </row>
    <row r="17" spans="2:5">
      <c r="B17" t="s">
        <v>425</v>
      </c>
      <c r="C17" t="s">
        <v>426</v>
      </c>
      <c r="D17" t="s">
        <v>203</v>
      </c>
      <c r="E17" s="199" t="s">
        <v>204</v>
      </c>
    </row>
    <row r="18" spans="2:5">
      <c r="B18" t="s">
        <v>427</v>
      </c>
      <c r="C18" t="s">
        <v>428</v>
      </c>
      <c r="D18" t="s">
        <v>205</v>
      </c>
      <c r="E18" s="199" t="s">
        <v>206</v>
      </c>
    </row>
    <row r="19" spans="2:5">
      <c r="B19" t="s">
        <v>429</v>
      </c>
      <c r="C19" t="s">
        <v>430</v>
      </c>
      <c r="D19" t="s">
        <v>207</v>
      </c>
      <c r="E19" s="199" t="s">
        <v>208</v>
      </c>
    </row>
    <row r="20" spans="2:5">
      <c r="B20" t="s">
        <v>431</v>
      </c>
      <c r="C20" t="s">
        <v>432</v>
      </c>
      <c r="D20" t="s">
        <v>209</v>
      </c>
      <c r="E20" s="199" t="s">
        <v>210</v>
      </c>
    </row>
    <row r="21" spans="2:5">
      <c r="B21" t="s">
        <v>433</v>
      </c>
      <c r="C21" t="s">
        <v>434</v>
      </c>
      <c r="D21" t="s">
        <v>211</v>
      </c>
      <c r="E21" s="199" t="s">
        <v>212</v>
      </c>
    </row>
    <row r="22" spans="2:5">
      <c r="B22" t="s">
        <v>435</v>
      </c>
      <c r="C22" t="s">
        <v>436</v>
      </c>
      <c r="D22" t="s">
        <v>213</v>
      </c>
      <c r="E22" s="199" t="s">
        <v>214</v>
      </c>
    </row>
    <row r="23" spans="2:5">
      <c r="B23" t="s">
        <v>437</v>
      </c>
      <c r="C23" t="s">
        <v>438</v>
      </c>
      <c r="D23" t="s">
        <v>215</v>
      </c>
      <c r="E23" s="199" t="s">
        <v>216</v>
      </c>
    </row>
    <row r="24" spans="2:5">
      <c r="B24" t="s">
        <v>439</v>
      </c>
      <c r="C24" t="s">
        <v>440</v>
      </c>
      <c r="D24" t="s">
        <v>217</v>
      </c>
      <c r="E24" s="199" t="s">
        <v>218</v>
      </c>
    </row>
    <row r="25" spans="2:5">
      <c r="B25" t="s">
        <v>441</v>
      </c>
      <c r="C25" t="s">
        <v>442</v>
      </c>
      <c r="D25" t="s">
        <v>219</v>
      </c>
      <c r="E25" s="199" t="s">
        <v>220</v>
      </c>
    </row>
    <row r="26" spans="2:5">
      <c r="B26" t="s">
        <v>443</v>
      </c>
      <c r="C26" t="s">
        <v>444</v>
      </c>
      <c r="D26" t="s">
        <v>221</v>
      </c>
      <c r="E26" s="199" t="s">
        <v>222</v>
      </c>
    </row>
    <row r="27" spans="2:5">
      <c r="B27" t="s">
        <v>445</v>
      </c>
      <c r="C27" t="s">
        <v>446</v>
      </c>
      <c r="D27" t="s">
        <v>223</v>
      </c>
      <c r="E27" s="199" t="s">
        <v>224</v>
      </c>
    </row>
    <row r="28" spans="2:5">
      <c r="B28" t="s">
        <v>447</v>
      </c>
      <c r="C28" t="s">
        <v>448</v>
      </c>
      <c r="D28" t="s">
        <v>225</v>
      </c>
      <c r="E28" s="199" t="s">
        <v>226</v>
      </c>
    </row>
    <row r="29" spans="2:5">
      <c r="B29" t="s">
        <v>449</v>
      </c>
      <c r="C29" t="s">
        <v>450</v>
      </c>
      <c r="D29" t="s">
        <v>227</v>
      </c>
      <c r="E29" s="199" t="s">
        <v>228</v>
      </c>
    </row>
    <row r="30" spans="2:5">
      <c r="B30" t="s">
        <v>451</v>
      </c>
      <c r="C30">
        <v>23.09</v>
      </c>
      <c r="D30" t="s">
        <v>229</v>
      </c>
      <c r="E30" s="199" t="s">
        <v>230</v>
      </c>
    </row>
    <row r="31" spans="2:5">
      <c r="B31" t="s">
        <v>452</v>
      </c>
      <c r="C31" t="s">
        <v>453</v>
      </c>
      <c r="D31" t="s">
        <v>231</v>
      </c>
      <c r="E31" s="199" t="s">
        <v>232</v>
      </c>
    </row>
    <row r="32" spans="2:5">
      <c r="B32" t="s">
        <v>454</v>
      </c>
      <c r="C32" t="s">
        <v>455</v>
      </c>
      <c r="D32" t="s">
        <v>233</v>
      </c>
      <c r="E32" s="199" t="s">
        <v>234</v>
      </c>
    </row>
    <row r="33" spans="2:5">
      <c r="B33" t="s">
        <v>456</v>
      </c>
      <c r="C33">
        <v>20.12</v>
      </c>
      <c r="D33" t="s">
        <v>235</v>
      </c>
      <c r="E33" s="199" t="s">
        <v>236</v>
      </c>
    </row>
    <row r="34" spans="2:5">
      <c r="B34" t="s">
        <v>457</v>
      </c>
      <c r="C34" t="s">
        <v>458</v>
      </c>
      <c r="D34" t="s">
        <v>237</v>
      </c>
      <c r="E34" s="199" t="s">
        <v>238</v>
      </c>
    </row>
    <row r="35" spans="2:5">
      <c r="B35" t="s">
        <v>459</v>
      </c>
      <c r="C35" t="s">
        <v>460</v>
      </c>
      <c r="D35" t="s">
        <v>239</v>
      </c>
      <c r="E35">
        <v>29.01</v>
      </c>
    </row>
    <row r="36" spans="2:5">
      <c r="B36" t="s">
        <v>461</v>
      </c>
      <c r="C36" t="s">
        <v>462</v>
      </c>
      <c r="D36" t="s">
        <v>240</v>
      </c>
      <c r="E36" s="199" t="s">
        <v>241</v>
      </c>
    </row>
    <row r="37" spans="2:5">
      <c r="B37" t="s">
        <v>463</v>
      </c>
      <c r="C37">
        <v>17.04</v>
      </c>
      <c r="D37" t="s">
        <v>242</v>
      </c>
      <c r="E37" s="199" t="s">
        <v>243</v>
      </c>
    </row>
    <row r="38" spans="2:5">
      <c r="B38" t="s">
        <v>464</v>
      </c>
      <c r="C38" t="s">
        <v>465</v>
      </c>
      <c r="D38" t="s">
        <v>244</v>
      </c>
      <c r="E38" s="199" t="s">
        <v>245</v>
      </c>
    </row>
    <row r="39" spans="2:5">
      <c r="B39" t="s">
        <v>466</v>
      </c>
      <c r="C39">
        <v>16.02</v>
      </c>
      <c r="D39" t="s">
        <v>246</v>
      </c>
      <c r="E39" s="199" t="s">
        <v>247</v>
      </c>
    </row>
    <row r="40" spans="2:5">
      <c r="B40" t="s">
        <v>467</v>
      </c>
      <c r="C40" t="s">
        <v>468</v>
      </c>
      <c r="D40" t="s">
        <v>248</v>
      </c>
      <c r="E40" s="199" t="s">
        <v>249</v>
      </c>
    </row>
    <row r="41" spans="2:5">
      <c r="B41" t="s">
        <v>469</v>
      </c>
      <c r="C41" t="s">
        <v>470</v>
      </c>
      <c r="D41" t="s">
        <v>250</v>
      </c>
      <c r="E41" s="199" t="s">
        <v>251</v>
      </c>
    </row>
    <row r="42" spans="2:5">
      <c r="B42" t="s">
        <v>471</v>
      </c>
      <c r="C42" t="s">
        <v>472</v>
      </c>
      <c r="D42" t="s">
        <v>252</v>
      </c>
      <c r="E42">
        <v>22.02</v>
      </c>
    </row>
    <row r="43" spans="2:5">
      <c r="B43" t="s">
        <v>473</v>
      </c>
      <c r="C43" t="s">
        <v>474</v>
      </c>
      <c r="D43" t="s">
        <v>253</v>
      </c>
      <c r="E43" s="199" t="s">
        <v>254</v>
      </c>
    </row>
    <row r="44" spans="2:5">
      <c r="B44" t="s">
        <v>475</v>
      </c>
      <c r="C44" t="s">
        <v>470</v>
      </c>
      <c r="D44" t="s">
        <v>255</v>
      </c>
      <c r="E44" s="199" t="s">
        <v>256</v>
      </c>
    </row>
    <row r="45" spans="2:5">
      <c r="B45" t="s">
        <v>476</v>
      </c>
      <c r="C45" t="s">
        <v>477</v>
      </c>
      <c r="D45" t="s">
        <v>257</v>
      </c>
      <c r="E45" s="199" t="s">
        <v>258</v>
      </c>
    </row>
    <row r="46" spans="2:5">
      <c r="B46" t="s">
        <v>478</v>
      </c>
      <c r="C46" t="s">
        <v>479</v>
      </c>
      <c r="D46" t="s">
        <v>259</v>
      </c>
      <c r="E46" s="199" t="s">
        <v>260</v>
      </c>
    </row>
    <row r="47" spans="2:5">
      <c r="B47" t="s">
        <v>480</v>
      </c>
      <c r="C47" t="s">
        <v>481</v>
      </c>
      <c r="D47" t="s">
        <v>261</v>
      </c>
      <c r="E47" s="199" t="s">
        <v>262</v>
      </c>
    </row>
    <row r="48" spans="2:5">
      <c r="B48" t="s">
        <v>482</v>
      </c>
      <c r="C48" t="s">
        <v>483</v>
      </c>
      <c r="D48" t="s">
        <v>263</v>
      </c>
      <c r="E48" s="199" t="s">
        <v>264</v>
      </c>
    </row>
    <row r="49" spans="2:5">
      <c r="B49" t="s">
        <v>484</v>
      </c>
      <c r="C49" t="s">
        <v>485</v>
      </c>
      <c r="D49" t="s">
        <v>265</v>
      </c>
      <c r="E49" s="199" t="s">
        <v>266</v>
      </c>
    </row>
    <row r="50" spans="2:5">
      <c r="B50" t="s">
        <v>486</v>
      </c>
      <c r="C50">
        <v>15.03</v>
      </c>
      <c r="D50" t="s">
        <v>267</v>
      </c>
      <c r="E50" s="199" t="s">
        <v>268</v>
      </c>
    </row>
    <row r="51" spans="2:5">
      <c r="B51" t="s">
        <v>487</v>
      </c>
      <c r="C51" t="s">
        <v>488</v>
      </c>
      <c r="D51" t="s">
        <v>269</v>
      </c>
      <c r="E51" s="199" t="s">
        <v>270</v>
      </c>
    </row>
    <row r="52" spans="2:5">
      <c r="B52" t="s">
        <v>489</v>
      </c>
      <c r="C52" t="s">
        <v>490</v>
      </c>
      <c r="D52" t="s">
        <v>271</v>
      </c>
      <c r="E52" s="199" t="s">
        <v>272</v>
      </c>
    </row>
    <row r="53" spans="2:5">
      <c r="B53" t="s">
        <v>491</v>
      </c>
      <c r="C53" t="s">
        <v>492</v>
      </c>
      <c r="D53" t="s">
        <v>273</v>
      </c>
      <c r="E53" s="199" t="s">
        <v>274</v>
      </c>
    </row>
    <row r="54" spans="2:5">
      <c r="B54" t="s">
        <v>493</v>
      </c>
      <c r="C54" t="s">
        <v>494</v>
      </c>
      <c r="D54" t="s">
        <v>275</v>
      </c>
      <c r="E54" s="199" t="s">
        <v>276</v>
      </c>
    </row>
    <row r="55" spans="2:5">
      <c r="B55" t="s">
        <v>495</v>
      </c>
      <c r="C55">
        <v>12.98</v>
      </c>
      <c r="D55" t="s">
        <v>277</v>
      </c>
      <c r="E55" s="199" t="s">
        <v>278</v>
      </c>
    </row>
    <row r="56" spans="2:5">
      <c r="B56" t="s">
        <v>496</v>
      </c>
      <c r="C56">
        <v>12.59</v>
      </c>
      <c r="D56" t="s">
        <v>279</v>
      </c>
      <c r="E56" s="199">
        <v>19.03</v>
      </c>
    </row>
    <row r="57" spans="2:5">
      <c r="B57" t="s">
        <v>497</v>
      </c>
      <c r="C57">
        <v>12.2</v>
      </c>
      <c r="D57" t="s">
        <v>280</v>
      </c>
      <c r="E57" s="199" t="s">
        <v>281</v>
      </c>
    </row>
    <row r="58" spans="2:5">
      <c r="B58" t="s">
        <v>498</v>
      </c>
      <c r="C58">
        <v>12.79</v>
      </c>
      <c r="D58" t="s">
        <v>282</v>
      </c>
      <c r="E58" s="199" t="s">
        <v>283</v>
      </c>
    </row>
    <row r="59" spans="2:5">
      <c r="B59" t="s">
        <v>499</v>
      </c>
      <c r="C59">
        <v>11.31</v>
      </c>
      <c r="D59" t="s">
        <v>284</v>
      </c>
      <c r="E59" s="199" t="s">
        <v>276</v>
      </c>
    </row>
    <row r="60" spans="2:5">
      <c r="B60" t="s">
        <v>500</v>
      </c>
      <c r="C60">
        <v>10.78</v>
      </c>
      <c r="D60" t="s">
        <v>285</v>
      </c>
      <c r="E60" s="199" t="s">
        <v>286</v>
      </c>
    </row>
    <row r="61" spans="2:5">
      <c r="B61" t="s">
        <v>337</v>
      </c>
      <c r="C61">
        <v>10.220000000000001</v>
      </c>
      <c r="D61" t="s">
        <v>287</v>
      </c>
      <c r="E61" s="199" t="s">
        <v>288</v>
      </c>
    </row>
    <row r="62" spans="2:5">
      <c r="B62" t="s">
        <v>501</v>
      </c>
      <c r="C62" t="s">
        <v>502</v>
      </c>
      <c r="D62" t="s">
        <v>289</v>
      </c>
      <c r="E62" s="199">
        <v>17.010000000000002</v>
      </c>
    </row>
    <row r="63" spans="2:5">
      <c r="B63" t="s">
        <v>503</v>
      </c>
      <c r="C63" t="s">
        <v>504</v>
      </c>
      <c r="D63" t="s">
        <v>290</v>
      </c>
      <c r="E63" s="199" t="s">
        <v>291</v>
      </c>
    </row>
    <row r="64" spans="2:5">
      <c r="B64" t="s">
        <v>505</v>
      </c>
      <c r="C64" t="s">
        <v>506</v>
      </c>
      <c r="D64" t="s">
        <v>292</v>
      </c>
      <c r="E64" s="199" t="s">
        <v>293</v>
      </c>
    </row>
    <row r="65" spans="2:5">
      <c r="B65" t="s">
        <v>507</v>
      </c>
      <c r="C65" t="s">
        <v>508</v>
      </c>
      <c r="D65" t="s">
        <v>294</v>
      </c>
      <c r="E65" s="199">
        <v>15.1</v>
      </c>
    </row>
    <row r="66" spans="2:5">
      <c r="B66" t="s">
        <v>509</v>
      </c>
      <c r="C66" t="s">
        <v>510</v>
      </c>
      <c r="D66" t="s">
        <v>295</v>
      </c>
      <c r="E66" s="199" t="s">
        <v>296</v>
      </c>
    </row>
    <row r="67" spans="2:5">
      <c r="B67" t="s">
        <v>511</v>
      </c>
      <c r="C67" t="s">
        <v>512</v>
      </c>
      <c r="D67" t="s">
        <v>297</v>
      </c>
      <c r="E67" s="199" t="s">
        <v>298</v>
      </c>
    </row>
    <row r="68" spans="2:5">
      <c r="B68" t="s">
        <v>513</v>
      </c>
      <c r="C68" t="s">
        <v>514</v>
      </c>
      <c r="D68" t="s">
        <v>299</v>
      </c>
      <c r="E68" s="199">
        <v>12.58</v>
      </c>
    </row>
    <row r="69" spans="2:5">
      <c r="B69" t="s">
        <v>515</v>
      </c>
      <c r="C69" t="s">
        <v>516</v>
      </c>
      <c r="D69" t="s">
        <v>300</v>
      </c>
      <c r="E69" s="199">
        <v>11.72</v>
      </c>
    </row>
    <row r="70" spans="2:5">
      <c r="B70" t="s">
        <v>517</v>
      </c>
      <c r="C70" t="s">
        <v>518</v>
      </c>
      <c r="D70" t="s">
        <v>301</v>
      </c>
      <c r="E70" s="199">
        <v>10.84</v>
      </c>
    </row>
    <row r="71" spans="2:5">
      <c r="B71" t="s">
        <v>519</v>
      </c>
      <c r="C71" t="s">
        <v>520</v>
      </c>
      <c r="D71" t="s">
        <v>302</v>
      </c>
      <c r="E71" s="199" t="s">
        <v>303</v>
      </c>
    </row>
    <row r="72" spans="2:5">
      <c r="B72" t="s">
        <v>521</v>
      </c>
      <c r="C72" t="s">
        <v>522</v>
      </c>
      <c r="D72" t="s">
        <v>304</v>
      </c>
      <c r="E72" s="199" t="s">
        <v>305</v>
      </c>
    </row>
    <row r="73" spans="2:5">
      <c r="B73" t="s">
        <v>523</v>
      </c>
      <c r="C73" t="s">
        <v>524</v>
      </c>
      <c r="D73" t="s">
        <v>306</v>
      </c>
      <c r="E73" s="199" t="s">
        <v>307</v>
      </c>
    </row>
    <row r="74" spans="2:5">
      <c r="B74" t="s">
        <v>525</v>
      </c>
      <c r="C74" t="s">
        <v>526</v>
      </c>
      <c r="D74" t="s">
        <v>308</v>
      </c>
      <c r="E74" s="199" t="s">
        <v>309</v>
      </c>
    </row>
    <row r="75" spans="2:5">
      <c r="B75" t="s">
        <v>527</v>
      </c>
      <c r="C75" t="s">
        <v>528</v>
      </c>
      <c r="D75" t="s">
        <v>310</v>
      </c>
      <c r="E75" s="199" t="s">
        <v>311</v>
      </c>
    </row>
    <row r="76" spans="2:5">
      <c r="B76" t="s">
        <v>529</v>
      </c>
      <c r="C76" t="s">
        <v>530</v>
      </c>
      <c r="D76" t="s">
        <v>312</v>
      </c>
      <c r="E76" s="199" t="s">
        <v>313</v>
      </c>
    </row>
    <row r="77" spans="2:5">
      <c r="B77" t="s">
        <v>531</v>
      </c>
      <c r="C77" t="s">
        <v>532</v>
      </c>
      <c r="D77" t="s">
        <v>314</v>
      </c>
      <c r="E77" s="199" t="s">
        <v>315</v>
      </c>
    </row>
    <row r="78" spans="2:5">
      <c r="B78">
        <v>10.62</v>
      </c>
      <c r="C78" t="s">
        <v>533</v>
      </c>
      <c r="D78">
        <v>10.65</v>
      </c>
      <c r="E78" s="199" t="s">
        <v>316</v>
      </c>
    </row>
    <row r="79" spans="2:5">
      <c r="B79">
        <v>11.64</v>
      </c>
      <c r="C79" t="s">
        <v>534</v>
      </c>
      <c r="D79">
        <v>11.67</v>
      </c>
      <c r="E79" s="199" t="s">
        <v>317</v>
      </c>
    </row>
    <row r="80" spans="2:5">
      <c r="B80">
        <v>12.76</v>
      </c>
      <c r="C80" t="s">
        <v>535</v>
      </c>
      <c r="D80">
        <v>12.79</v>
      </c>
      <c r="E80" s="199" t="s">
        <v>318</v>
      </c>
    </row>
    <row r="81" spans="2:5">
      <c r="B81" t="s">
        <v>536</v>
      </c>
      <c r="C81" t="s">
        <v>537</v>
      </c>
      <c r="D81">
        <v>14.02</v>
      </c>
      <c r="E81" s="199" t="s">
        <v>319</v>
      </c>
    </row>
    <row r="82" spans="2:5">
      <c r="B82" t="s">
        <v>538</v>
      </c>
      <c r="C82" t="s">
        <v>539</v>
      </c>
      <c r="D82" t="s">
        <v>320</v>
      </c>
      <c r="E82" s="199" t="s">
        <v>321</v>
      </c>
    </row>
    <row r="83" spans="2:5">
      <c r="B83" t="s">
        <v>540</v>
      </c>
      <c r="C83" t="s">
        <v>541</v>
      </c>
      <c r="D83" t="s">
        <v>322</v>
      </c>
      <c r="E83" s="199" t="s">
        <v>323</v>
      </c>
    </row>
    <row r="84" spans="2:5">
      <c r="B84" t="s">
        <v>542</v>
      </c>
      <c r="C84" t="s">
        <v>543</v>
      </c>
      <c r="D84" t="s">
        <v>324</v>
      </c>
      <c r="E84" s="199" t="s">
        <v>325</v>
      </c>
    </row>
    <row r="85" spans="2:5">
      <c r="B85" t="s">
        <v>544</v>
      </c>
      <c r="C85" t="s">
        <v>545</v>
      </c>
      <c r="D85" t="s">
        <v>326</v>
      </c>
      <c r="E85" s="199" t="s">
        <v>327</v>
      </c>
    </row>
    <row r="86" spans="2:5">
      <c r="B86" t="s">
        <v>546</v>
      </c>
      <c r="C86" t="s">
        <v>547</v>
      </c>
      <c r="D86" t="s">
        <v>328</v>
      </c>
      <c r="E86" s="199" t="s">
        <v>329</v>
      </c>
    </row>
    <row r="87" spans="2:5">
      <c r="B87" t="s">
        <v>548</v>
      </c>
      <c r="C87" t="s">
        <v>549</v>
      </c>
      <c r="D87" t="s">
        <v>330</v>
      </c>
      <c r="E87" s="199" t="s">
        <v>331</v>
      </c>
    </row>
    <row r="88" spans="2:5">
      <c r="B88" t="s">
        <v>550</v>
      </c>
      <c r="C88" t="s">
        <v>551</v>
      </c>
      <c r="D88" t="s">
        <v>332</v>
      </c>
      <c r="E88" s="199" t="s">
        <v>333</v>
      </c>
    </row>
    <row r="89" spans="2:5">
      <c r="B89" t="s">
        <v>552</v>
      </c>
      <c r="C89" t="s">
        <v>553</v>
      </c>
      <c r="D89" t="s">
        <v>334</v>
      </c>
      <c r="E89" s="199" t="s">
        <v>335</v>
      </c>
    </row>
    <row r="90" spans="2:5">
      <c r="B90" t="s">
        <v>554</v>
      </c>
      <c r="C90" t="s">
        <v>555</v>
      </c>
      <c r="D90" t="s">
        <v>336</v>
      </c>
      <c r="E90" s="199" t="s">
        <v>337</v>
      </c>
    </row>
    <row r="91" spans="2:5">
      <c r="B91" t="s">
        <v>556</v>
      </c>
      <c r="C91" t="s">
        <v>557</v>
      </c>
      <c r="D91" t="s">
        <v>338</v>
      </c>
      <c r="E91" s="199" t="s">
        <v>339</v>
      </c>
    </row>
    <row r="92" spans="2:5">
      <c r="B92" t="s">
        <v>558</v>
      </c>
      <c r="C92" t="s">
        <v>559</v>
      </c>
      <c r="D92" t="s">
        <v>340</v>
      </c>
      <c r="E92" s="199" t="s">
        <v>341</v>
      </c>
    </row>
    <row r="93" spans="2:5">
      <c r="B93" t="s">
        <v>560</v>
      </c>
      <c r="C93" t="s">
        <v>561</v>
      </c>
      <c r="D93" t="s">
        <v>342</v>
      </c>
      <c r="E93" s="199" t="s">
        <v>343</v>
      </c>
    </row>
    <row r="94" spans="2:5">
      <c r="B94" t="s">
        <v>562</v>
      </c>
      <c r="C94" t="s">
        <v>563</v>
      </c>
      <c r="D94" t="s">
        <v>344</v>
      </c>
      <c r="E94" s="199" t="s">
        <v>345</v>
      </c>
    </row>
    <row r="95" spans="2:5">
      <c r="B95" t="s">
        <v>564</v>
      </c>
      <c r="C95" t="s">
        <v>565</v>
      </c>
      <c r="D95" t="s">
        <v>346</v>
      </c>
      <c r="E95" s="199" t="s">
        <v>347</v>
      </c>
    </row>
    <row r="96" spans="2:5">
      <c r="B96" t="s">
        <v>566</v>
      </c>
      <c r="C96" t="s">
        <v>567</v>
      </c>
      <c r="D96" t="s">
        <v>348</v>
      </c>
      <c r="E96" s="199" t="s">
        <v>349</v>
      </c>
    </row>
    <row r="97" spans="2:5">
      <c r="B97" t="s">
        <v>568</v>
      </c>
      <c r="C97" t="s">
        <v>569</v>
      </c>
      <c r="D97" t="s">
        <v>350</v>
      </c>
      <c r="E97" s="199" t="s">
        <v>351</v>
      </c>
    </row>
    <row r="98" spans="2:5">
      <c r="B98" t="s">
        <v>570</v>
      </c>
      <c r="C98" t="s">
        <v>571</v>
      </c>
      <c r="D98" t="s">
        <v>352</v>
      </c>
      <c r="E98" s="199" t="s">
        <v>353</v>
      </c>
    </row>
    <row r="99" spans="2:5">
      <c r="B99" t="s">
        <v>572</v>
      </c>
      <c r="C99" t="s">
        <v>573</v>
      </c>
      <c r="D99" t="s">
        <v>354</v>
      </c>
      <c r="E99" s="199" t="s">
        <v>355</v>
      </c>
    </row>
    <row r="100" spans="2:5">
      <c r="B100" t="s">
        <v>574</v>
      </c>
      <c r="C100" t="s">
        <v>575</v>
      </c>
      <c r="D100" t="s">
        <v>356</v>
      </c>
      <c r="E100" s="199" t="s">
        <v>357</v>
      </c>
    </row>
    <row r="101" spans="2:5">
      <c r="B101" t="s">
        <v>576</v>
      </c>
      <c r="C101" t="s">
        <v>577</v>
      </c>
      <c r="D101" t="s">
        <v>358</v>
      </c>
      <c r="E101" s="199" t="s">
        <v>359</v>
      </c>
    </row>
    <row r="102" spans="2:5">
      <c r="B102" t="s">
        <v>578</v>
      </c>
      <c r="C102" t="s">
        <v>579</v>
      </c>
      <c r="D102" t="s">
        <v>360</v>
      </c>
      <c r="E102" s="199" t="s">
        <v>361</v>
      </c>
    </row>
    <row r="103" spans="2:5">
      <c r="B103" t="s">
        <v>580</v>
      </c>
      <c r="C103" t="s">
        <v>581</v>
      </c>
      <c r="D103" t="s">
        <v>362</v>
      </c>
      <c r="E103" s="199" t="s">
        <v>363</v>
      </c>
    </row>
    <row r="104" spans="2:5">
      <c r="B104" t="s">
        <v>364</v>
      </c>
      <c r="C104" t="s">
        <v>582</v>
      </c>
      <c r="D104" t="s">
        <v>364</v>
      </c>
      <c r="E104" s="199" t="s">
        <v>365</v>
      </c>
    </row>
    <row r="105" spans="2:5">
      <c r="B105" t="s">
        <v>583</v>
      </c>
      <c r="C105" t="s">
        <v>584</v>
      </c>
      <c r="D105" t="s">
        <v>366</v>
      </c>
      <c r="E105" s="199" t="s">
        <v>367</v>
      </c>
    </row>
    <row r="106" spans="2:5">
      <c r="B106" t="s">
        <v>585</v>
      </c>
      <c r="C106" t="s">
        <v>586</v>
      </c>
      <c r="D106" t="s">
        <v>368</v>
      </c>
      <c r="E106" s="199" t="s">
        <v>369</v>
      </c>
    </row>
    <row r="107" spans="2:5">
      <c r="B107" t="s">
        <v>587</v>
      </c>
      <c r="C107" t="s">
        <v>588</v>
      </c>
      <c r="D107" t="s">
        <v>370</v>
      </c>
      <c r="E107" s="199" t="s">
        <v>371</v>
      </c>
    </row>
    <row r="108" spans="2:5">
      <c r="B108" t="s">
        <v>589</v>
      </c>
      <c r="C108" t="s">
        <v>590</v>
      </c>
      <c r="D108" t="s">
        <v>372</v>
      </c>
      <c r="E108" s="199" t="s">
        <v>373</v>
      </c>
    </row>
    <row r="109" spans="2:5">
      <c r="B109" t="s">
        <v>591</v>
      </c>
      <c r="C109" t="s">
        <v>592</v>
      </c>
      <c r="D109" t="s">
        <v>374</v>
      </c>
      <c r="E109" s="199" t="s">
        <v>375</v>
      </c>
    </row>
    <row r="110" spans="2:5">
      <c r="B110" t="s">
        <v>593</v>
      </c>
      <c r="C110" t="s">
        <v>594</v>
      </c>
      <c r="D110" t="s">
        <v>376</v>
      </c>
      <c r="E110" s="199" t="s">
        <v>377</v>
      </c>
    </row>
    <row r="111" spans="2:5">
      <c r="B111" t="s">
        <v>595</v>
      </c>
      <c r="C111" t="s">
        <v>596</v>
      </c>
      <c r="D111" t="s">
        <v>378</v>
      </c>
      <c r="E111" s="199" t="s">
        <v>379</v>
      </c>
    </row>
    <row r="112" spans="2:5">
      <c r="B112" t="s">
        <v>597</v>
      </c>
      <c r="C112" t="s">
        <v>598</v>
      </c>
      <c r="D112" t="s">
        <v>380</v>
      </c>
      <c r="E112" s="199" t="s">
        <v>381</v>
      </c>
    </row>
    <row r="113" spans="2:5">
      <c r="B113" t="s">
        <v>382</v>
      </c>
      <c r="C113" t="s">
        <v>599</v>
      </c>
      <c r="D113" t="s">
        <v>382</v>
      </c>
      <c r="E113" s="199" t="s">
        <v>383</v>
      </c>
    </row>
    <row r="114" spans="2:5">
      <c r="B114" t="s">
        <v>384</v>
      </c>
      <c r="C114" t="s">
        <v>600</v>
      </c>
      <c r="D114" t="s">
        <v>384</v>
      </c>
      <c r="E114" s="199" t="s">
        <v>385</v>
      </c>
    </row>
    <row r="115" spans="2:5">
      <c r="B115" t="s">
        <v>386</v>
      </c>
      <c r="C115" t="s">
        <v>601</v>
      </c>
      <c r="D115" t="s">
        <v>386</v>
      </c>
      <c r="E115" s="199" t="s">
        <v>387</v>
      </c>
    </row>
    <row r="116" spans="2:5">
      <c r="B116" t="s">
        <v>388</v>
      </c>
      <c r="C116" t="s">
        <v>602</v>
      </c>
      <c r="D116" t="s">
        <v>388</v>
      </c>
      <c r="E116" s="199" t="s">
        <v>252</v>
      </c>
    </row>
    <row r="117" spans="2:5">
      <c r="B117" t="s">
        <v>389</v>
      </c>
      <c r="C117" t="s">
        <v>603</v>
      </c>
      <c r="D117" t="s">
        <v>389</v>
      </c>
      <c r="E117" s="199" t="s">
        <v>390</v>
      </c>
    </row>
    <row r="118" spans="2:5">
      <c r="B118" t="s">
        <v>391</v>
      </c>
      <c r="C118" t="s">
        <v>604</v>
      </c>
      <c r="D118" t="s">
        <v>391</v>
      </c>
      <c r="E118" s="199" t="s">
        <v>392</v>
      </c>
    </row>
    <row r="119" spans="2:5">
      <c r="B119" t="s">
        <v>393</v>
      </c>
      <c r="C119" t="s">
        <v>605</v>
      </c>
      <c r="D119" t="s">
        <v>393</v>
      </c>
      <c r="E119" s="199" t="s">
        <v>394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119"/>
  <sheetViews>
    <sheetView workbookViewId="0">
      <selection activeCell="D1" sqref="D1:E1048576"/>
    </sheetView>
  </sheetViews>
  <sheetFormatPr defaultRowHeight="14.25"/>
  <cols>
    <col min="2" max="2" width="12.125" customWidth="1"/>
    <col min="5" max="5" width="10.375" style="199" bestFit="1" customWidth="1"/>
  </cols>
  <sheetData>
    <row r="1" spans="2:5">
      <c r="B1" t="s">
        <v>1111</v>
      </c>
      <c r="C1" s="199" t="s">
        <v>1112</v>
      </c>
      <c r="D1" t="s">
        <v>1109</v>
      </c>
      <c r="E1" s="199" t="s">
        <v>1110</v>
      </c>
    </row>
    <row r="2" spans="2:5">
      <c r="B2" t="s">
        <v>606</v>
      </c>
      <c r="C2" t="s">
        <v>607</v>
      </c>
      <c r="D2" t="s">
        <v>173</v>
      </c>
      <c r="E2" s="199" t="s">
        <v>174</v>
      </c>
    </row>
    <row r="3" spans="2:5">
      <c r="B3" t="s">
        <v>608</v>
      </c>
      <c r="C3" t="s">
        <v>609</v>
      </c>
      <c r="D3" t="s">
        <v>175</v>
      </c>
      <c r="E3" s="199" t="s">
        <v>176</v>
      </c>
    </row>
    <row r="4" spans="2:5">
      <c r="B4" t="s">
        <v>610</v>
      </c>
      <c r="C4" t="s">
        <v>611</v>
      </c>
      <c r="D4" t="s">
        <v>177</v>
      </c>
      <c r="E4" s="199" t="s">
        <v>178</v>
      </c>
    </row>
    <row r="5" spans="2:5">
      <c r="B5" t="s">
        <v>612</v>
      </c>
      <c r="C5" t="s">
        <v>613</v>
      </c>
      <c r="D5" t="s">
        <v>179</v>
      </c>
      <c r="E5" s="199" t="s">
        <v>180</v>
      </c>
    </row>
    <row r="6" spans="2:5">
      <c r="B6" t="s">
        <v>614</v>
      </c>
      <c r="C6" t="s">
        <v>615</v>
      </c>
      <c r="D6" t="s">
        <v>181</v>
      </c>
      <c r="E6" s="199" t="s">
        <v>182</v>
      </c>
    </row>
    <row r="7" spans="2:5">
      <c r="B7" t="s">
        <v>616</v>
      </c>
      <c r="C7" t="s">
        <v>617</v>
      </c>
      <c r="D7" t="s">
        <v>183</v>
      </c>
      <c r="E7" s="199" t="s">
        <v>184</v>
      </c>
    </row>
    <row r="8" spans="2:5">
      <c r="B8" t="s">
        <v>618</v>
      </c>
      <c r="C8" t="s">
        <v>619</v>
      </c>
      <c r="D8" t="s">
        <v>185</v>
      </c>
      <c r="E8" s="199" t="s">
        <v>186</v>
      </c>
    </row>
    <row r="9" spans="2:5">
      <c r="B9" t="s">
        <v>620</v>
      </c>
      <c r="C9" t="s">
        <v>621</v>
      </c>
      <c r="D9" t="s">
        <v>187</v>
      </c>
      <c r="E9" s="199" t="s">
        <v>188</v>
      </c>
    </row>
    <row r="10" spans="2:5">
      <c r="B10" t="s">
        <v>622</v>
      </c>
      <c r="C10" t="s">
        <v>623</v>
      </c>
      <c r="D10" t="s">
        <v>189</v>
      </c>
      <c r="E10" s="199" t="s">
        <v>190</v>
      </c>
    </row>
    <row r="11" spans="2:5">
      <c r="B11" t="s">
        <v>624</v>
      </c>
      <c r="C11" t="s">
        <v>625</v>
      </c>
      <c r="D11" t="s">
        <v>191</v>
      </c>
      <c r="E11" s="199" t="s">
        <v>192</v>
      </c>
    </row>
    <row r="12" spans="2:5">
      <c r="B12" t="s">
        <v>626</v>
      </c>
      <c r="C12" t="s">
        <v>627</v>
      </c>
      <c r="D12" t="s">
        <v>193</v>
      </c>
      <c r="E12" s="199" t="s">
        <v>194</v>
      </c>
    </row>
    <row r="13" spans="2:5">
      <c r="B13" t="s">
        <v>628</v>
      </c>
      <c r="C13" t="s">
        <v>629</v>
      </c>
      <c r="D13" t="s">
        <v>195</v>
      </c>
      <c r="E13" s="199" t="s">
        <v>196</v>
      </c>
    </row>
    <row r="14" spans="2:5">
      <c r="B14" t="s">
        <v>630</v>
      </c>
      <c r="C14" t="s">
        <v>631</v>
      </c>
      <c r="D14" t="s">
        <v>197</v>
      </c>
      <c r="E14" s="199" t="s">
        <v>198</v>
      </c>
    </row>
    <row r="15" spans="2:5">
      <c r="B15" t="s">
        <v>632</v>
      </c>
      <c r="C15" t="s">
        <v>633</v>
      </c>
      <c r="D15" t="s">
        <v>199</v>
      </c>
      <c r="E15" s="199" t="s">
        <v>200</v>
      </c>
    </row>
    <row r="16" spans="2:5">
      <c r="B16" t="s">
        <v>634</v>
      </c>
      <c r="C16" t="s">
        <v>635</v>
      </c>
      <c r="D16" t="s">
        <v>201</v>
      </c>
      <c r="E16" s="199" t="s">
        <v>202</v>
      </c>
    </row>
    <row r="17" spans="2:5">
      <c r="B17" t="s">
        <v>636</v>
      </c>
      <c r="C17" t="s">
        <v>637</v>
      </c>
      <c r="D17" t="s">
        <v>203</v>
      </c>
      <c r="E17" s="199" t="s">
        <v>204</v>
      </c>
    </row>
    <row r="18" spans="2:5">
      <c r="B18" t="s">
        <v>638</v>
      </c>
      <c r="C18" t="s">
        <v>639</v>
      </c>
      <c r="D18" t="s">
        <v>205</v>
      </c>
      <c r="E18" s="199" t="s">
        <v>206</v>
      </c>
    </row>
    <row r="19" spans="2:5">
      <c r="B19" t="s">
        <v>640</v>
      </c>
      <c r="C19" t="s">
        <v>641</v>
      </c>
      <c r="D19" t="s">
        <v>207</v>
      </c>
      <c r="E19" s="199" t="s">
        <v>208</v>
      </c>
    </row>
    <row r="20" spans="2:5">
      <c r="B20" t="s">
        <v>642</v>
      </c>
      <c r="C20" t="s">
        <v>643</v>
      </c>
      <c r="D20" t="s">
        <v>209</v>
      </c>
      <c r="E20" s="199" t="s">
        <v>210</v>
      </c>
    </row>
    <row r="21" spans="2:5">
      <c r="B21" t="s">
        <v>644</v>
      </c>
      <c r="C21" t="s">
        <v>645</v>
      </c>
      <c r="D21" t="s">
        <v>211</v>
      </c>
      <c r="E21" s="199" t="s">
        <v>212</v>
      </c>
    </row>
    <row r="22" spans="2:5">
      <c r="B22" t="s">
        <v>646</v>
      </c>
      <c r="C22" t="s">
        <v>647</v>
      </c>
      <c r="D22" t="s">
        <v>213</v>
      </c>
      <c r="E22" s="199" t="s">
        <v>214</v>
      </c>
    </row>
    <row r="23" spans="2:5">
      <c r="B23" t="s">
        <v>648</v>
      </c>
      <c r="C23" t="s">
        <v>649</v>
      </c>
      <c r="D23" t="s">
        <v>215</v>
      </c>
      <c r="E23" s="199" t="s">
        <v>216</v>
      </c>
    </row>
    <row r="24" spans="2:5">
      <c r="B24" t="s">
        <v>650</v>
      </c>
      <c r="C24" t="s">
        <v>651</v>
      </c>
      <c r="D24" t="s">
        <v>217</v>
      </c>
      <c r="E24" s="199" t="s">
        <v>218</v>
      </c>
    </row>
    <row r="25" spans="2:5">
      <c r="B25" t="s">
        <v>652</v>
      </c>
      <c r="C25" t="s">
        <v>653</v>
      </c>
      <c r="D25" t="s">
        <v>219</v>
      </c>
      <c r="E25" s="199" t="s">
        <v>220</v>
      </c>
    </row>
    <row r="26" spans="2:5">
      <c r="B26" t="s">
        <v>654</v>
      </c>
      <c r="C26" t="s">
        <v>655</v>
      </c>
      <c r="D26" t="s">
        <v>221</v>
      </c>
      <c r="E26" s="199" t="s">
        <v>222</v>
      </c>
    </row>
    <row r="27" spans="2:5">
      <c r="B27" t="s">
        <v>656</v>
      </c>
      <c r="C27" t="s">
        <v>657</v>
      </c>
      <c r="D27" t="s">
        <v>223</v>
      </c>
      <c r="E27" s="199" t="s">
        <v>224</v>
      </c>
    </row>
    <row r="28" spans="2:5">
      <c r="B28" t="s">
        <v>658</v>
      </c>
      <c r="C28" t="s">
        <v>659</v>
      </c>
      <c r="D28" t="s">
        <v>225</v>
      </c>
      <c r="E28" s="199" t="s">
        <v>226</v>
      </c>
    </row>
    <row r="29" spans="2:5">
      <c r="B29" t="s">
        <v>660</v>
      </c>
      <c r="C29" t="s">
        <v>661</v>
      </c>
      <c r="D29" t="s">
        <v>227</v>
      </c>
      <c r="E29" s="199" t="s">
        <v>228</v>
      </c>
    </row>
    <row r="30" spans="2:5">
      <c r="B30" t="s">
        <v>662</v>
      </c>
      <c r="C30" t="s">
        <v>663</v>
      </c>
      <c r="D30" t="s">
        <v>229</v>
      </c>
      <c r="E30" s="199" t="s">
        <v>230</v>
      </c>
    </row>
    <row r="31" spans="2:5">
      <c r="B31" t="s">
        <v>664</v>
      </c>
      <c r="C31" t="s">
        <v>665</v>
      </c>
      <c r="D31" t="s">
        <v>231</v>
      </c>
      <c r="E31" s="199" t="s">
        <v>232</v>
      </c>
    </row>
    <row r="32" spans="2:5">
      <c r="B32" t="s">
        <v>666</v>
      </c>
      <c r="C32" t="s">
        <v>667</v>
      </c>
      <c r="D32" t="s">
        <v>233</v>
      </c>
      <c r="E32" s="199" t="s">
        <v>234</v>
      </c>
    </row>
    <row r="33" spans="2:5">
      <c r="B33" t="s">
        <v>235</v>
      </c>
      <c r="C33" t="s">
        <v>668</v>
      </c>
      <c r="D33" t="s">
        <v>235</v>
      </c>
      <c r="E33" s="199" t="s">
        <v>236</v>
      </c>
    </row>
    <row r="34" spans="2:5">
      <c r="B34" t="s">
        <v>669</v>
      </c>
      <c r="C34" t="s">
        <v>670</v>
      </c>
      <c r="D34" t="s">
        <v>237</v>
      </c>
      <c r="E34" s="199" t="s">
        <v>238</v>
      </c>
    </row>
    <row r="35" spans="2:5">
      <c r="B35" t="s">
        <v>671</v>
      </c>
      <c r="C35" t="s">
        <v>672</v>
      </c>
      <c r="D35" t="s">
        <v>239</v>
      </c>
      <c r="E35">
        <v>29.01</v>
      </c>
    </row>
    <row r="36" spans="2:5">
      <c r="B36" t="s">
        <v>673</v>
      </c>
      <c r="C36" t="s">
        <v>674</v>
      </c>
      <c r="D36" t="s">
        <v>240</v>
      </c>
      <c r="E36" s="199" t="s">
        <v>241</v>
      </c>
    </row>
    <row r="37" spans="2:5">
      <c r="B37" t="s">
        <v>675</v>
      </c>
      <c r="C37" t="s">
        <v>676</v>
      </c>
      <c r="D37" t="s">
        <v>242</v>
      </c>
      <c r="E37" s="199" t="s">
        <v>243</v>
      </c>
    </row>
    <row r="38" spans="2:5">
      <c r="B38" t="s">
        <v>677</v>
      </c>
      <c r="C38" t="s">
        <v>678</v>
      </c>
      <c r="D38" t="s">
        <v>244</v>
      </c>
      <c r="E38" s="199" t="s">
        <v>245</v>
      </c>
    </row>
    <row r="39" spans="2:5">
      <c r="B39" t="s">
        <v>679</v>
      </c>
      <c r="C39" t="s">
        <v>680</v>
      </c>
      <c r="D39" t="s">
        <v>246</v>
      </c>
      <c r="E39" s="199" t="s">
        <v>247</v>
      </c>
    </row>
    <row r="40" spans="2:5">
      <c r="B40" t="s">
        <v>681</v>
      </c>
      <c r="C40" t="s">
        <v>682</v>
      </c>
      <c r="D40" t="s">
        <v>248</v>
      </c>
      <c r="E40" s="199" t="s">
        <v>249</v>
      </c>
    </row>
    <row r="41" spans="2:5">
      <c r="B41" t="s">
        <v>683</v>
      </c>
      <c r="C41" t="s">
        <v>684</v>
      </c>
      <c r="D41" t="s">
        <v>250</v>
      </c>
      <c r="E41" s="199" t="s">
        <v>251</v>
      </c>
    </row>
    <row r="42" spans="2:5">
      <c r="B42" t="s">
        <v>685</v>
      </c>
      <c r="C42" t="s">
        <v>686</v>
      </c>
      <c r="D42" t="s">
        <v>252</v>
      </c>
      <c r="E42">
        <v>22.02</v>
      </c>
    </row>
    <row r="43" spans="2:5">
      <c r="B43" t="s">
        <v>687</v>
      </c>
      <c r="C43" t="s">
        <v>688</v>
      </c>
      <c r="D43" t="s">
        <v>253</v>
      </c>
      <c r="E43" s="199" t="s">
        <v>254</v>
      </c>
    </row>
    <row r="44" spans="2:5">
      <c r="B44" t="s">
        <v>689</v>
      </c>
      <c r="C44" t="s">
        <v>690</v>
      </c>
      <c r="D44" t="s">
        <v>255</v>
      </c>
      <c r="E44" s="199" t="s">
        <v>256</v>
      </c>
    </row>
    <row r="45" spans="2:5">
      <c r="B45" t="s">
        <v>691</v>
      </c>
      <c r="C45" t="s">
        <v>692</v>
      </c>
      <c r="D45" t="s">
        <v>257</v>
      </c>
      <c r="E45" s="199" t="s">
        <v>258</v>
      </c>
    </row>
    <row r="46" spans="2:5">
      <c r="B46" t="s">
        <v>693</v>
      </c>
      <c r="C46" t="s">
        <v>694</v>
      </c>
      <c r="D46" t="s">
        <v>259</v>
      </c>
      <c r="E46" s="199" t="s">
        <v>260</v>
      </c>
    </row>
    <row r="47" spans="2:5">
      <c r="B47" t="s">
        <v>695</v>
      </c>
      <c r="C47" t="s">
        <v>696</v>
      </c>
      <c r="D47" t="s">
        <v>261</v>
      </c>
      <c r="E47" s="199" t="s">
        <v>262</v>
      </c>
    </row>
    <row r="48" spans="2:5">
      <c r="B48" t="s">
        <v>697</v>
      </c>
      <c r="C48" t="s">
        <v>698</v>
      </c>
      <c r="D48" t="s">
        <v>263</v>
      </c>
      <c r="E48" s="199" t="s">
        <v>264</v>
      </c>
    </row>
    <row r="49" spans="2:5">
      <c r="B49" t="s">
        <v>699</v>
      </c>
      <c r="C49" t="s">
        <v>700</v>
      </c>
      <c r="D49" t="s">
        <v>265</v>
      </c>
      <c r="E49" s="199" t="s">
        <v>266</v>
      </c>
    </row>
    <row r="50" spans="2:5">
      <c r="B50" t="s">
        <v>701</v>
      </c>
      <c r="C50" t="s">
        <v>702</v>
      </c>
      <c r="D50" t="s">
        <v>267</v>
      </c>
      <c r="E50" s="199" t="s">
        <v>268</v>
      </c>
    </row>
    <row r="51" spans="2:5">
      <c r="B51" t="s">
        <v>703</v>
      </c>
      <c r="C51" t="s">
        <v>704</v>
      </c>
      <c r="D51" t="s">
        <v>269</v>
      </c>
      <c r="E51" s="199" t="s">
        <v>270</v>
      </c>
    </row>
    <row r="52" spans="2:5">
      <c r="B52" t="s">
        <v>705</v>
      </c>
      <c r="C52" t="s">
        <v>706</v>
      </c>
      <c r="D52" t="s">
        <v>271</v>
      </c>
      <c r="E52" s="199" t="s">
        <v>272</v>
      </c>
    </row>
    <row r="53" spans="2:5">
      <c r="B53" t="s">
        <v>707</v>
      </c>
      <c r="C53" t="s">
        <v>708</v>
      </c>
      <c r="D53" t="s">
        <v>273</v>
      </c>
      <c r="E53" s="199" t="s">
        <v>274</v>
      </c>
    </row>
    <row r="54" spans="2:5">
      <c r="B54" t="s">
        <v>709</v>
      </c>
      <c r="C54" t="s">
        <v>710</v>
      </c>
      <c r="D54" t="s">
        <v>275</v>
      </c>
      <c r="E54" s="199" t="s">
        <v>276</v>
      </c>
    </row>
    <row r="55" spans="2:5">
      <c r="B55" t="s">
        <v>711</v>
      </c>
      <c r="C55" t="s">
        <v>712</v>
      </c>
      <c r="D55" t="s">
        <v>277</v>
      </c>
      <c r="E55" s="199" t="s">
        <v>278</v>
      </c>
    </row>
    <row r="56" spans="2:5">
      <c r="B56" t="s">
        <v>713</v>
      </c>
      <c r="C56" t="s">
        <v>714</v>
      </c>
      <c r="D56" t="s">
        <v>279</v>
      </c>
      <c r="E56" s="199">
        <v>19.03</v>
      </c>
    </row>
    <row r="57" spans="2:5">
      <c r="B57" t="s">
        <v>715</v>
      </c>
      <c r="C57" t="s">
        <v>716</v>
      </c>
      <c r="D57" t="s">
        <v>280</v>
      </c>
      <c r="E57" s="199" t="s">
        <v>281</v>
      </c>
    </row>
    <row r="58" spans="2:5">
      <c r="B58" t="s">
        <v>717</v>
      </c>
      <c r="C58" t="s">
        <v>718</v>
      </c>
      <c r="D58" t="s">
        <v>282</v>
      </c>
      <c r="E58" s="199" t="s">
        <v>283</v>
      </c>
    </row>
    <row r="59" spans="2:5">
      <c r="B59" t="s">
        <v>719</v>
      </c>
      <c r="C59" t="s">
        <v>720</v>
      </c>
      <c r="D59" t="s">
        <v>284</v>
      </c>
      <c r="E59" s="199" t="s">
        <v>276</v>
      </c>
    </row>
    <row r="60" spans="2:5">
      <c r="B60" t="s">
        <v>721</v>
      </c>
      <c r="C60" t="s">
        <v>722</v>
      </c>
      <c r="D60" t="s">
        <v>285</v>
      </c>
      <c r="E60" s="199" t="s">
        <v>286</v>
      </c>
    </row>
    <row r="61" spans="2:5">
      <c r="B61" t="s">
        <v>723</v>
      </c>
      <c r="C61" t="s">
        <v>724</v>
      </c>
      <c r="D61" t="s">
        <v>287</v>
      </c>
      <c r="E61" s="199" t="s">
        <v>288</v>
      </c>
    </row>
    <row r="62" spans="2:5">
      <c r="B62" t="s">
        <v>725</v>
      </c>
      <c r="C62" t="s">
        <v>726</v>
      </c>
      <c r="D62" t="s">
        <v>289</v>
      </c>
      <c r="E62" s="199">
        <v>17.010000000000002</v>
      </c>
    </row>
    <row r="63" spans="2:5">
      <c r="B63" t="s">
        <v>727</v>
      </c>
      <c r="C63" t="s">
        <v>728</v>
      </c>
      <c r="D63" t="s">
        <v>290</v>
      </c>
      <c r="E63" s="199" t="s">
        <v>291</v>
      </c>
    </row>
    <row r="64" spans="2:5">
      <c r="B64" t="s">
        <v>729</v>
      </c>
      <c r="C64" t="s">
        <v>730</v>
      </c>
      <c r="D64" t="s">
        <v>292</v>
      </c>
      <c r="E64" s="199" t="s">
        <v>293</v>
      </c>
    </row>
    <row r="65" spans="2:5">
      <c r="B65" t="s">
        <v>731</v>
      </c>
      <c r="C65" t="s">
        <v>732</v>
      </c>
      <c r="D65" t="s">
        <v>294</v>
      </c>
      <c r="E65" s="199">
        <v>15.1</v>
      </c>
    </row>
    <row r="66" spans="2:5">
      <c r="B66" t="s">
        <v>325</v>
      </c>
      <c r="C66" t="s">
        <v>236</v>
      </c>
      <c r="D66" t="s">
        <v>295</v>
      </c>
      <c r="E66" s="199" t="s">
        <v>296</v>
      </c>
    </row>
    <row r="67" spans="2:5">
      <c r="B67" t="s">
        <v>733</v>
      </c>
      <c r="C67" t="s">
        <v>734</v>
      </c>
      <c r="D67" t="s">
        <v>297</v>
      </c>
      <c r="E67" s="199" t="s">
        <v>298</v>
      </c>
    </row>
    <row r="68" spans="2:5">
      <c r="B68" t="s">
        <v>735</v>
      </c>
      <c r="C68" t="s">
        <v>736</v>
      </c>
      <c r="D68" t="s">
        <v>299</v>
      </c>
      <c r="E68" s="199">
        <v>12.58</v>
      </c>
    </row>
    <row r="69" spans="2:5">
      <c r="B69" t="s">
        <v>737</v>
      </c>
      <c r="C69" t="s">
        <v>738</v>
      </c>
      <c r="D69" t="s">
        <v>300</v>
      </c>
      <c r="E69" s="199">
        <v>11.72</v>
      </c>
    </row>
    <row r="70" spans="2:5">
      <c r="B70" t="s">
        <v>739</v>
      </c>
      <c r="C70" t="s">
        <v>740</v>
      </c>
      <c r="D70" t="s">
        <v>301</v>
      </c>
      <c r="E70" s="199">
        <v>10.84</v>
      </c>
    </row>
    <row r="71" spans="2:5">
      <c r="B71" t="s">
        <v>741</v>
      </c>
      <c r="C71" t="s">
        <v>742</v>
      </c>
      <c r="D71" t="s">
        <v>302</v>
      </c>
      <c r="E71" s="199" t="s">
        <v>303</v>
      </c>
    </row>
    <row r="72" spans="2:5">
      <c r="B72" t="s">
        <v>743</v>
      </c>
      <c r="C72" t="s">
        <v>744</v>
      </c>
      <c r="D72" t="s">
        <v>304</v>
      </c>
      <c r="E72" s="199" t="s">
        <v>305</v>
      </c>
    </row>
    <row r="73" spans="2:5">
      <c r="B73" t="s">
        <v>745</v>
      </c>
      <c r="C73" t="s">
        <v>746</v>
      </c>
      <c r="D73" t="s">
        <v>306</v>
      </c>
      <c r="E73" s="199" t="s">
        <v>307</v>
      </c>
    </row>
    <row r="74" spans="2:5">
      <c r="B74" t="s">
        <v>747</v>
      </c>
      <c r="C74" t="s">
        <v>748</v>
      </c>
      <c r="D74" t="s">
        <v>308</v>
      </c>
      <c r="E74" s="199" t="s">
        <v>309</v>
      </c>
    </row>
    <row r="75" spans="2:5">
      <c r="B75" t="s">
        <v>310</v>
      </c>
      <c r="C75" t="s">
        <v>749</v>
      </c>
      <c r="D75" t="s">
        <v>310</v>
      </c>
      <c r="E75" s="199" t="s">
        <v>311</v>
      </c>
    </row>
    <row r="76" spans="2:5">
      <c r="B76" t="s">
        <v>312</v>
      </c>
      <c r="C76" t="s">
        <v>750</v>
      </c>
      <c r="D76" t="s">
        <v>312</v>
      </c>
      <c r="E76" s="199" t="s">
        <v>313</v>
      </c>
    </row>
    <row r="77" spans="2:5">
      <c r="B77" t="s">
        <v>314</v>
      </c>
      <c r="C77" t="s">
        <v>751</v>
      </c>
      <c r="D77" t="s">
        <v>314</v>
      </c>
      <c r="E77" s="199" t="s">
        <v>315</v>
      </c>
    </row>
    <row r="78" spans="2:5">
      <c r="B78">
        <v>10.65</v>
      </c>
      <c r="C78" t="s">
        <v>752</v>
      </c>
      <c r="D78">
        <v>10.65</v>
      </c>
      <c r="E78" s="199" t="s">
        <v>316</v>
      </c>
    </row>
    <row r="79" spans="2:5">
      <c r="B79">
        <v>11.67</v>
      </c>
      <c r="C79">
        <v>14.07</v>
      </c>
      <c r="D79">
        <v>11.67</v>
      </c>
      <c r="E79" s="199" t="s">
        <v>317</v>
      </c>
    </row>
    <row r="80" spans="2:5">
      <c r="B80">
        <v>12.79</v>
      </c>
      <c r="C80">
        <v>12.92</v>
      </c>
      <c r="D80">
        <v>12.79</v>
      </c>
      <c r="E80" s="199" t="s">
        <v>318</v>
      </c>
    </row>
    <row r="81" spans="2:5">
      <c r="B81">
        <v>14.02</v>
      </c>
      <c r="C81">
        <v>12.01</v>
      </c>
      <c r="D81">
        <v>14.02</v>
      </c>
      <c r="E81" s="199" t="s">
        <v>319</v>
      </c>
    </row>
    <row r="82" spans="2:5">
      <c r="B82" t="s">
        <v>320</v>
      </c>
      <c r="C82">
        <v>11.13</v>
      </c>
      <c r="D82" t="s">
        <v>320</v>
      </c>
      <c r="E82" s="199" t="s">
        <v>321</v>
      </c>
    </row>
    <row r="83" spans="2:5">
      <c r="B83" t="s">
        <v>322</v>
      </c>
      <c r="C83">
        <v>10.29</v>
      </c>
      <c r="D83" t="s">
        <v>322</v>
      </c>
      <c r="E83" s="199" t="s">
        <v>323</v>
      </c>
    </row>
    <row r="84" spans="2:5">
      <c r="B84" t="s">
        <v>324</v>
      </c>
      <c r="C84" t="s">
        <v>753</v>
      </c>
      <c r="D84" t="s">
        <v>324</v>
      </c>
      <c r="E84" s="199" t="s">
        <v>325</v>
      </c>
    </row>
    <row r="85" spans="2:5">
      <c r="B85" t="s">
        <v>326</v>
      </c>
      <c r="C85" t="s">
        <v>754</v>
      </c>
      <c r="D85" t="s">
        <v>326</v>
      </c>
      <c r="E85" s="199" t="s">
        <v>327</v>
      </c>
    </row>
    <row r="86" spans="2:5">
      <c r="B86" t="s">
        <v>328</v>
      </c>
      <c r="C86" t="s">
        <v>755</v>
      </c>
      <c r="D86" t="s">
        <v>328</v>
      </c>
      <c r="E86" s="199" t="s">
        <v>329</v>
      </c>
    </row>
    <row r="87" spans="2:5">
      <c r="B87" t="s">
        <v>330</v>
      </c>
      <c r="C87" t="s">
        <v>756</v>
      </c>
      <c r="D87" t="s">
        <v>330</v>
      </c>
      <c r="E87" s="199" t="s">
        <v>331</v>
      </c>
    </row>
    <row r="88" spans="2:5">
      <c r="B88" t="s">
        <v>332</v>
      </c>
      <c r="C88" t="s">
        <v>757</v>
      </c>
      <c r="D88" t="s">
        <v>332</v>
      </c>
      <c r="E88" s="199" t="s">
        <v>333</v>
      </c>
    </row>
    <row r="89" spans="2:5">
      <c r="B89" t="s">
        <v>334</v>
      </c>
      <c r="C89" t="s">
        <v>758</v>
      </c>
      <c r="D89" t="s">
        <v>334</v>
      </c>
      <c r="E89" s="199" t="s">
        <v>335</v>
      </c>
    </row>
    <row r="90" spans="2:5">
      <c r="B90" t="s">
        <v>336</v>
      </c>
      <c r="C90" t="s">
        <v>759</v>
      </c>
      <c r="D90" t="s">
        <v>336</v>
      </c>
      <c r="E90" s="199" t="s">
        <v>337</v>
      </c>
    </row>
    <row r="91" spans="2:5">
      <c r="B91" t="s">
        <v>338</v>
      </c>
      <c r="C91" t="s">
        <v>760</v>
      </c>
      <c r="D91" t="s">
        <v>338</v>
      </c>
      <c r="E91" s="199" t="s">
        <v>339</v>
      </c>
    </row>
    <row r="92" spans="2:5">
      <c r="B92" t="s">
        <v>340</v>
      </c>
      <c r="C92" t="s">
        <v>761</v>
      </c>
      <c r="D92" t="s">
        <v>340</v>
      </c>
      <c r="E92" s="199" t="s">
        <v>341</v>
      </c>
    </row>
    <row r="93" spans="2:5">
      <c r="B93" t="s">
        <v>342</v>
      </c>
      <c r="C93" t="s">
        <v>762</v>
      </c>
      <c r="D93" t="s">
        <v>342</v>
      </c>
      <c r="E93" s="199" t="s">
        <v>343</v>
      </c>
    </row>
    <row r="94" spans="2:5">
      <c r="B94" t="s">
        <v>344</v>
      </c>
      <c r="C94" t="s">
        <v>763</v>
      </c>
      <c r="D94" t="s">
        <v>344</v>
      </c>
      <c r="E94" s="199" t="s">
        <v>345</v>
      </c>
    </row>
    <row r="95" spans="2:5">
      <c r="B95" t="s">
        <v>346</v>
      </c>
      <c r="C95" t="s">
        <v>764</v>
      </c>
      <c r="D95" t="s">
        <v>346</v>
      </c>
      <c r="E95" s="199" t="s">
        <v>347</v>
      </c>
    </row>
    <row r="96" spans="2:5">
      <c r="B96" t="s">
        <v>348</v>
      </c>
      <c r="C96" t="s">
        <v>765</v>
      </c>
      <c r="D96" t="s">
        <v>348</v>
      </c>
      <c r="E96" s="199" t="s">
        <v>349</v>
      </c>
    </row>
    <row r="97" spans="2:5">
      <c r="B97" t="s">
        <v>350</v>
      </c>
      <c r="C97" t="s">
        <v>526</v>
      </c>
      <c r="D97" t="s">
        <v>350</v>
      </c>
      <c r="E97" s="199" t="s">
        <v>351</v>
      </c>
    </row>
    <row r="98" spans="2:5">
      <c r="B98" t="s">
        <v>352</v>
      </c>
      <c r="C98" t="s">
        <v>766</v>
      </c>
      <c r="D98" t="s">
        <v>352</v>
      </c>
      <c r="E98" s="199" t="s">
        <v>353</v>
      </c>
    </row>
    <row r="99" spans="2:5">
      <c r="B99" t="s">
        <v>767</v>
      </c>
      <c r="C99" t="s">
        <v>768</v>
      </c>
      <c r="D99" t="s">
        <v>354</v>
      </c>
      <c r="E99" s="199" t="s">
        <v>355</v>
      </c>
    </row>
    <row r="100" spans="2:5">
      <c r="B100" t="s">
        <v>356</v>
      </c>
      <c r="C100" t="s">
        <v>769</v>
      </c>
      <c r="D100" t="s">
        <v>356</v>
      </c>
      <c r="E100" s="199" t="s">
        <v>357</v>
      </c>
    </row>
    <row r="101" spans="2:5">
      <c r="B101" t="s">
        <v>358</v>
      </c>
      <c r="C101" t="s">
        <v>770</v>
      </c>
      <c r="D101" t="s">
        <v>358</v>
      </c>
      <c r="E101" s="199" t="s">
        <v>359</v>
      </c>
    </row>
    <row r="102" spans="2:5">
      <c r="B102" t="s">
        <v>360</v>
      </c>
      <c r="C102" t="s">
        <v>771</v>
      </c>
      <c r="D102" t="s">
        <v>360</v>
      </c>
      <c r="E102" s="199" t="s">
        <v>361</v>
      </c>
    </row>
    <row r="103" spans="2:5">
      <c r="B103" t="s">
        <v>362</v>
      </c>
      <c r="C103" t="s">
        <v>534</v>
      </c>
      <c r="D103" t="s">
        <v>362</v>
      </c>
      <c r="E103" s="199" t="s">
        <v>363</v>
      </c>
    </row>
    <row r="104" spans="2:5">
      <c r="B104" t="s">
        <v>364</v>
      </c>
      <c r="C104" t="s">
        <v>772</v>
      </c>
      <c r="D104" t="s">
        <v>364</v>
      </c>
      <c r="E104" s="199" t="s">
        <v>365</v>
      </c>
    </row>
    <row r="105" spans="2:5">
      <c r="B105" t="s">
        <v>366</v>
      </c>
      <c r="C105" t="s">
        <v>773</v>
      </c>
      <c r="D105" t="s">
        <v>366</v>
      </c>
      <c r="E105" s="199" t="s">
        <v>367</v>
      </c>
    </row>
    <row r="106" spans="2:5">
      <c r="B106" t="s">
        <v>368</v>
      </c>
      <c r="C106" t="s">
        <v>774</v>
      </c>
      <c r="D106" t="s">
        <v>368</v>
      </c>
      <c r="E106" s="199" t="s">
        <v>369</v>
      </c>
    </row>
    <row r="107" spans="2:5">
      <c r="B107" t="s">
        <v>370</v>
      </c>
      <c r="C107" t="s">
        <v>775</v>
      </c>
      <c r="D107" t="s">
        <v>370</v>
      </c>
      <c r="E107" s="199" t="s">
        <v>371</v>
      </c>
    </row>
    <row r="108" spans="2:5">
      <c r="B108" t="s">
        <v>372</v>
      </c>
      <c r="C108" t="s">
        <v>776</v>
      </c>
      <c r="D108" t="s">
        <v>372</v>
      </c>
      <c r="E108" s="199" t="s">
        <v>373</v>
      </c>
    </row>
    <row r="109" spans="2:5">
      <c r="B109" t="s">
        <v>374</v>
      </c>
      <c r="C109" t="s">
        <v>777</v>
      </c>
      <c r="D109" t="s">
        <v>374</v>
      </c>
      <c r="E109" s="199" t="s">
        <v>375</v>
      </c>
    </row>
    <row r="110" spans="2:5">
      <c r="B110" t="s">
        <v>376</v>
      </c>
      <c r="C110" t="s">
        <v>778</v>
      </c>
      <c r="D110" t="s">
        <v>376</v>
      </c>
      <c r="E110" s="199" t="s">
        <v>377</v>
      </c>
    </row>
    <row r="111" spans="2:5">
      <c r="B111" t="s">
        <v>378</v>
      </c>
      <c r="C111" t="s">
        <v>779</v>
      </c>
      <c r="D111" t="s">
        <v>378</v>
      </c>
      <c r="E111" s="199" t="s">
        <v>379</v>
      </c>
    </row>
    <row r="112" spans="2:5">
      <c r="B112" t="s">
        <v>380</v>
      </c>
      <c r="C112" t="s">
        <v>780</v>
      </c>
      <c r="D112" t="s">
        <v>380</v>
      </c>
      <c r="E112" s="199" t="s">
        <v>381</v>
      </c>
    </row>
    <row r="113" spans="2:5">
      <c r="B113" t="s">
        <v>382</v>
      </c>
      <c r="C113" t="s">
        <v>551</v>
      </c>
      <c r="D113" t="s">
        <v>382</v>
      </c>
      <c r="E113" s="199" t="s">
        <v>383</v>
      </c>
    </row>
    <row r="114" spans="2:5">
      <c r="B114" t="s">
        <v>384</v>
      </c>
      <c r="C114" t="s">
        <v>781</v>
      </c>
      <c r="D114" t="s">
        <v>384</v>
      </c>
      <c r="E114" s="199" t="s">
        <v>385</v>
      </c>
    </row>
    <row r="115" spans="2:5">
      <c r="B115" t="s">
        <v>386</v>
      </c>
      <c r="C115" t="s">
        <v>782</v>
      </c>
      <c r="D115" t="s">
        <v>386</v>
      </c>
      <c r="E115" s="199" t="s">
        <v>387</v>
      </c>
    </row>
    <row r="116" spans="2:5">
      <c r="B116" t="s">
        <v>388</v>
      </c>
      <c r="C116" t="s">
        <v>783</v>
      </c>
      <c r="D116" t="s">
        <v>388</v>
      </c>
      <c r="E116" s="199" t="s">
        <v>252</v>
      </c>
    </row>
    <row r="117" spans="2:5">
      <c r="B117" t="s">
        <v>389</v>
      </c>
      <c r="C117" t="s">
        <v>784</v>
      </c>
      <c r="D117" t="s">
        <v>389</v>
      </c>
      <c r="E117" s="199" t="s">
        <v>390</v>
      </c>
    </row>
    <row r="118" spans="2:5">
      <c r="B118" t="s">
        <v>391</v>
      </c>
      <c r="C118" t="s">
        <v>785</v>
      </c>
      <c r="D118" t="s">
        <v>391</v>
      </c>
      <c r="E118" s="199" t="s">
        <v>392</v>
      </c>
    </row>
    <row r="119" spans="2:5">
      <c r="B119" t="s">
        <v>393</v>
      </c>
      <c r="C119" t="s">
        <v>786</v>
      </c>
      <c r="D119" t="s">
        <v>393</v>
      </c>
      <c r="E119" s="199" t="s">
        <v>394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119"/>
  <sheetViews>
    <sheetView workbookViewId="0">
      <selection activeCell="J17" sqref="J17"/>
    </sheetView>
  </sheetViews>
  <sheetFormatPr defaultRowHeight="14.25"/>
  <sheetData>
    <row r="1" spans="2:5">
      <c r="B1" t="s">
        <v>1118</v>
      </c>
      <c r="C1" s="199" t="s">
        <v>1117</v>
      </c>
      <c r="D1" t="s">
        <v>1115</v>
      </c>
      <c r="E1" s="199" t="s">
        <v>1116</v>
      </c>
    </row>
    <row r="2" spans="2:5">
      <c r="B2" t="s">
        <v>787</v>
      </c>
      <c r="C2" t="s">
        <v>788</v>
      </c>
      <c r="D2" t="s">
        <v>948</v>
      </c>
      <c r="E2" t="s">
        <v>949</v>
      </c>
    </row>
    <row r="3" spans="2:5">
      <c r="B3" t="s">
        <v>789</v>
      </c>
      <c r="C3" t="s">
        <v>790</v>
      </c>
      <c r="D3" t="s">
        <v>950</v>
      </c>
      <c r="E3" t="s">
        <v>951</v>
      </c>
    </row>
    <row r="4" spans="2:5">
      <c r="B4" t="s">
        <v>791</v>
      </c>
      <c r="C4" t="s">
        <v>792</v>
      </c>
      <c r="D4" t="s">
        <v>952</v>
      </c>
      <c r="E4" t="s">
        <v>953</v>
      </c>
    </row>
    <row r="5" spans="2:5">
      <c r="B5" t="s">
        <v>793</v>
      </c>
      <c r="C5" t="s">
        <v>794</v>
      </c>
      <c r="D5" t="s">
        <v>954</v>
      </c>
      <c r="E5" t="s">
        <v>955</v>
      </c>
    </row>
    <row r="6" spans="2:5">
      <c r="B6" t="s">
        <v>795</v>
      </c>
      <c r="C6" t="s">
        <v>796</v>
      </c>
      <c r="D6" t="s">
        <v>956</v>
      </c>
      <c r="E6" t="s">
        <v>957</v>
      </c>
    </row>
    <row r="7" spans="2:5">
      <c r="B7" t="s">
        <v>797</v>
      </c>
      <c r="C7" t="s">
        <v>798</v>
      </c>
      <c r="D7" t="s">
        <v>958</v>
      </c>
      <c r="E7" t="s">
        <v>959</v>
      </c>
    </row>
    <row r="8" spans="2:5">
      <c r="B8" t="s">
        <v>799</v>
      </c>
      <c r="C8" t="s">
        <v>800</v>
      </c>
      <c r="D8" t="s">
        <v>960</v>
      </c>
      <c r="E8" t="s">
        <v>961</v>
      </c>
    </row>
    <row r="9" spans="2:5">
      <c r="B9" t="s">
        <v>801</v>
      </c>
      <c r="C9" t="s">
        <v>802</v>
      </c>
      <c r="D9" t="s">
        <v>962</v>
      </c>
      <c r="E9" t="s">
        <v>963</v>
      </c>
    </row>
    <row r="10" spans="2:5">
      <c r="B10" t="s">
        <v>803</v>
      </c>
      <c r="C10" t="s">
        <v>804</v>
      </c>
      <c r="D10" t="s">
        <v>964</v>
      </c>
      <c r="E10" t="s">
        <v>965</v>
      </c>
    </row>
    <row r="11" spans="2:5">
      <c r="B11" t="s">
        <v>805</v>
      </c>
      <c r="C11" t="s">
        <v>806</v>
      </c>
      <c r="D11" t="s">
        <v>966</v>
      </c>
      <c r="E11" t="s">
        <v>967</v>
      </c>
    </row>
    <row r="12" spans="2:5">
      <c r="B12" t="s">
        <v>807</v>
      </c>
      <c r="C12" t="s">
        <v>808</v>
      </c>
      <c r="D12" t="s">
        <v>968</v>
      </c>
      <c r="E12" t="s">
        <v>969</v>
      </c>
    </row>
    <row r="13" spans="2:5">
      <c r="B13" t="s">
        <v>809</v>
      </c>
      <c r="C13" t="s">
        <v>810</v>
      </c>
      <c r="D13" t="s">
        <v>970</v>
      </c>
      <c r="E13" t="s">
        <v>971</v>
      </c>
    </row>
    <row r="14" spans="2:5">
      <c r="B14" t="s">
        <v>811</v>
      </c>
      <c r="C14" t="s">
        <v>812</v>
      </c>
      <c r="D14" t="s">
        <v>972</v>
      </c>
      <c r="E14" t="s">
        <v>973</v>
      </c>
    </row>
    <row r="15" spans="2:5">
      <c r="B15" t="s">
        <v>813</v>
      </c>
      <c r="C15" t="s">
        <v>370</v>
      </c>
      <c r="D15" t="s">
        <v>974</v>
      </c>
      <c r="E15" t="s">
        <v>975</v>
      </c>
    </row>
    <row r="16" spans="2:5">
      <c r="B16" t="s">
        <v>814</v>
      </c>
      <c r="C16" t="s">
        <v>815</v>
      </c>
      <c r="D16" t="s">
        <v>976</v>
      </c>
      <c r="E16" t="s">
        <v>977</v>
      </c>
    </row>
    <row r="17" spans="2:5">
      <c r="B17" t="s">
        <v>816</v>
      </c>
      <c r="C17" t="s">
        <v>817</v>
      </c>
      <c r="D17" t="s">
        <v>978</v>
      </c>
      <c r="E17" t="s">
        <v>979</v>
      </c>
    </row>
    <row r="18" spans="2:5">
      <c r="B18" t="s">
        <v>818</v>
      </c>
      <c r="C18" t="s">
        <v>819</v>
      </c>
      <c r="D18" t="s">
        <v>980</v>
      </c>
      <c r="E18" t="s">
        <v>981</v>
      </c>
    </row>
    <row r="19" spans="2:5">
      <c r="B19" t="s">
        <v>820</v>
      </c>
      <c r="C19" t="s">
        <v>821</v>
      </c>
      <c r="D19" t="s">
        <v>982</v>
      </c>
      <c r="E19" t="s">
        <v>983</v>
      </c>
    </row>
    <row r="20" spans="2:5">
      <c r="B20" t="s">
        <v>822</v>
      </c>
      <c r="C20" t="s">
        <v>823</v>
      </c>
      <c r="D20" t="s">
        <v>984</v>
      </c>
      <c r="E20" t="s">
        <v>985</v>
      </c>
    </row>
    <row r="21" spans="2:5">
      <c r="B21" t="s">
        <v>824</v>
      </c>
      <c r="C21" t="s">
        <v>825</v>
      </c>
      <c r="D21" t="s">
        <v>986</v>
      </c>
      <c r="E21" t="s">
        <v>987</v>
      </c>
    </row>
    <row r="22" spans="2:5">
      <c r="B22" t="s">
        <v>826</v>
      </c>
      <c r="C22" t="s">
        <v>827</v>
      </c>
      <c r="D22" t="s">
        <v>646</v>
      </c>
      <c r="E22" t="s">
        <v>988</v>
      </c>
    </row>
    <row r="23" spans="2:5">
      <c r="B23" t="s">
        <v>828</v>
      </c>
      <c r="C23" t="s">
        <v>829</v>
      </c>
      <c r="D23" t="s">
        <v>989</v>
      </c>
      <c r="E23" t="s">
        <v>990</v>
      </c>
    </row>
    <row r="24" spans="2:5">
      <c r="B24" t="s">
        <v>830</v>
      </c>
      <c r="C24" t="s">
        <v>831</v>
      </c>
      <c r="D24" t="s">
        <v>991</v>
      </c>
      <c r="E24" t="s">
        <v>992</v>
      </c>
    </row>
    <row r="25" spans="2:5">
      <c r="B25" t="s">
        <v>832</v>
      </c>
      <c r="C25" t="s">
        <v>833</v>
      </c>
      <c r="D25" t="s">
        <v>993</v>
      </c>
      <c r="E25" t="s">
        <v>994</v>
      </c>
    </row>
    <row r="26" spans="2:5">
      <c r="B26" t="s">
        <v>834</v>
      </c>
      <c r="C26" t="s">
        <v>835</v>
      </c>
      <c r="D26" t="s">
        <v>995</v>
      </c>
      <c r="E26" t="s">
        <v>996</v>
      </c>
    </row>
    <row r="27" spans="2:5">
      <c r="B27" t="s">
        <v>836</v>
      </c>
      <c r="C27" t="s">
        <v>366</v>
      </c>
      <c r="D27" t="s">
        <v>997</v>
      </c>
      <c r="E27" t="s">
        <v>998</v>
      </c>
    </row>
    <row r="28" spans="2:5">
      <c r="B28" t="s">
        <v>837</v>
      </c>
      <c r="C28" t="s">
        <v>838</v>
      </c>
      <c r="D28" t="s">
        <v>837</v>
      </c>
      <c r="E28" t="s">
        <v>999</v>
      </c>
    </row>
    <row r="29" spans="2:5">
      <c r="B29" t="s">
        <v>839</v>
      </c>
      <c r="C29" t="s">
        <v>840</v>
      </c>
      <c r="D29" t="s">
        <v>1000</v>
      </c>
      <c r="E29" t="s">
        <v>1001</v>
      </c>
    </row>
    <row r="30" spans="2:5">
      <c r="B30" t="s">
        <v>841</v>
      </c>
      <c r="C30" t="s">
        <v>842</v>
      </c>
      <c r="D30" t="s">
        <v>1002</v>
      </c>
      <c r="E30" t="s">
        <v>1003</v>
      </c>
    </row>
    <row r="31" spans="2:5">
      <c r="B31" t="s">
        <v>664</v>
      </c>
      <c r="C31" t="s">
        <v>843</v>
      </c>
      <c r="D31" t="s">
        <v>1004</v>
      </c>
      <c r="E31" t="s">
        <v>1005</v>
      </c>
    </row>
    <row r="32" spans="2:5">
      <c r="B32" t="s">
        <v>233</v>
      </c>
      <c r="C32" t="s">
        <v>844</v>
      </c>
      <c r="D32" t="s">
        <v>1006</v>
      </c>
      <c r="E32" t="s">
        <v>1007</v>
      </c>
    </row>
    <row r="33" spans="2:5">
      <c r="B33" t="s">
        <v>845</v>
      </c>
      <c r="C33" t="s">
        <v>846</v>
      </c>
      <c r="D33" t="s">
        <v>1008</v>
      </c>
      <c r="E33" t="s">
        <v>1009</v>
      </c>
    </row>
    <row r="34" spans="2:5">
      <c r="B34" t="s">
        <v>847</v>
      </c>
      <c r="C34" t="s">
        <v>848</v>
      </c>
      <c r="D34" t="s">
        <v>1010</v>
      </c>
      <c r="E34" t="s">
        <v>1011</v>
      </c>
    </row>
    <row r="35" spans="2:5">
      <c r="B35" t="s">
        <v>849</v>
      </c>
      <c r="C35" t="s">
        <v>850</v>
      </c>
      <c r="D35" t="s">
        <v>1012</v>
      </c>
      <c r="E35" t="s">
        <v>1013</v>
      </c>
    </row>
    <row r="36" spans="2:5">
      <c r="B36" t="s">
        <v>851</v>
      </c>
      <c r="C36" t="s">
        <v>852</v>
      </c>
      <c r="D36" t="s">
        <v>1014</v>
      </c>
      <c r="E36" t="s">
        <v>1015</v>
      </c>
    </row>
    <row r="37" spans="2:5">
      <c r="B37" t="s">
        <v>853</v>
      </c>
      <c r="C37" t="s">
        <v>854</v>
      </c>
      <c r="D37" t="s">
        <v>1016</v>
      </c>
      <c r="E37" t="s">
        <v>1017</v>
      </c>
    </row>
    <row r="38" spans="2:5">
      <c r="B38" t="s">
        <v>855</v>
      </c>
      <c r="C38" t="s">
        <v>856</v>
      </c>
      <c r="D38" t="s">
        <v>1018</v>
      </c>
      <c r="E38" t="s">
        <v>1019</v>
      </c>
    </row>
    <row r="39" spans="2:5">
      <c r="B39" t="s">
        <v>857</v>
      </c>
      <c r="C39" t="s">
        <v>858</v>
      </c>
      <c r="D39" t="s">
        <v>1020</v>
      </c>
      <c r="E39" t="s">
        <v>1021</v>
      </c>
    </row>
    <row r="40" spans="2:5">
      <c r="B40" t="s">
        <v>859</v>
      </c>
      <c r="C40" t="s">
        <v>860</v>
      </c>
      <c r="D40" t="s">
        <v>1022</v>
      </c>
      <c r="E40" t="s">
        <v>1023</v>
      </c>
    </row>
    <row r="41" spans="2:5">
      <c r="B41" t="s">
        <v>861</v>
      </c>
      <c r="C41" t="s">
        <v>862</v>
      </c>
      <c r="D41" t="s">
        <v>1024</v>
      </c>
      <c r="E41" t="s">
        <v>1025</v>
      </c>
    </row>
    <row r="42" spans="2:5">
      <c r="B42" t="s">
        <v>863</v>
      </c>
      <c r="C42" t="s">
        <v>864</v>
      </c>
      <c r="D42" t="s">
        <v>1026</v>
      </c>
      <c r="E42" t="s">
        <v>1027</v>
      </c>
    </row>
    <row r="43" spans="2:5">
      <c r="B43" t="s">
        <v>865</v>
      </c>
      <c r="C43" t="s">
        <v>866</v>
      </c>
      <c r="D43" t="s">
        <v>1028</v>
      </c>
      <c r="E43" t="s">
        <v>1029</v>
      </c>
    </row>
    <row r="44" spans="2:5">
      <c r="B44" t="s">
        <v>689</v>
      </c>
      <c r="C44" t="s">
        <v>867</v>
      </c>
      <c r="D44" t="s">
        <v>1030</v>
      </c>
      <c r="E44" t="s">
        <v>1031</v>
      </c>
    </row>
    <row r="45" spans="2:5">
      <c r="B45" t="s">
        <v>868</v>
      </c>
      <c r="C45" t="s">
        <v>869</v>
      </c>
      <c r="D45" t="s">
        <v>1032</v>
      </c>
      <c r="E45" t="s">
        <v>1033</v>
      </c>
    </row>
    <row r="46" spans="2:5">
      <c r="B46" t="s">
        <v>870</v>
      </c>
      <c r="C46" t="s">
        <v>871</v>
      </c>
      <c r="D46" t="s">
        <v>1034</v>
      </c>
      <c r="E46" t="s">
        <v>1035</v>
      </c>
    </row>
    <row r="47" spans="2:5">
      <c r="B47" t="s">
        <v>872</v>
      </c>
      <c r="C47" t="s">
        <v>873</v>
      </c>
      <c r="D47" t="s">
        <v>1036</v>
      </c>
      <c r="E47" t="s">
        <v>1037</v>
      </c>
    </row>
    <row r="48" spans="2:5">
      <c r="B48" t="s">
        <v>874</v>
      </c>
      <c r="C48" t="s">
        <v>875</v>
      </c>
      <c r="D48" t="s">
        <v>1038</v>
      </c>
      <c r="E48" t="s">
        <v>1039</v>
      </c>
    </row>
    <row r="49" spans="2:5">
      <c r="B49" t="s">
        <v>876</v>
      </c>
      <c r="C49" t="s">
        <v>877</v>
      </c>
      <c r="D49" t="s">
        <v>1040</v>
      </c>
      <c r="E49" t="s">
        <v>1041</v>
      </c>
    </row>
    <row r="50" spans="2:5">
      <c r="B50" t="s">
        <v>878</v>
      </c>
      <c r="C50" t="s">
        <v>879</v>
      </c>
      <c r="D50" t="s">
        <v>1042</v>
      </c>
      <c r="E50" t="s">
        <v>1043</v>
      </c>
    </row>
    <row r="51" spans="2:5">
      <c r="B51" t="s">
        <v>880</v>
      </c>
      <c r="C51" t="s">
        <v>881</v>
      </c>
      <c r="D51" t="s">
        <v>1044</v>
      </c>
      <c r="E51" t="s">
        <v>1045</v>
      </c>
    </row>
    <row r="52" spans="2:5">
      <c r="B52" t="s">
        <v>882</v>
      </c>
      <c r="C52" t="s">
        <v>883</v>
      </c>
      <c r="D52" t="s">
        <v>1046</v>
      </c>
      <c r="E52" t="s">
        <v>1047</v>
      </c>
    </row>
    <row r="53" spans="2:5">
      <c r="B53" t="s">
        <v>707</v>
      </c>
      <c r="C53" t="s">
        <v>884</v>
      </c>
      <c r="D53" t="s">
        <v>1048</v>
      </c>
      <c r="E53" t="s">
        <v>1049</v>
      </c>
    </row>
    <row r="54" spans="2:5">
      <c r="B54" t="s">
        <v>885</v>
      </c>
      <c r="C54" t="s">
        <v>886</v>
      </c>
      <c r="D54" t="s">
        <v>709</v>
      </c>
      <c r="E54" t="s">
        <v>1050</v>
      </c>
    </row>
    <row r="55" spans="2:5">
      <c r="B55" t="s">
        <v>711</v>
      </c>
      <c r="C55" t="s">
        <v>887</v>
      </c>
      <c r="D55" t="s">
        <v>711</v>
      </c>
      <c r="E55" t="s">
        <v>1051</v>
      </c>
    </row>
    <row r="56" spans="2:5">
      <c r="B56" t="s">
        <v>713</v>
      </c>
      <c r="C56" t="s">
        <v>888</v>
      </c>
      <c r="D56" t="s">
        <v>713</v>
      </c>
      <c r="E56" t="s">
        <v>1052</v>
      </c>
    </row>
    <row r="57" spans="2:5">
      <c r="B57" t="s">
        <v>715</v>
      </c>
      <c r="C57" t="s">
        <v>889</v>
      </c>
      <c r="D57" t="s">
        <v>715</v>
      </c>
      <c r="E57" t="s">
        <v>1053</v>
      </c>
    </row>
    <row r="58" spans="2:5">
      <c r="B58" t="s">
        <v>717</v>
      </c>
      <c r="C58" t="s">
        <v>890</v>
      </c>
      <c r="D58" t="s">
        <v>717</v>
      </c>
      <c r="E58" t="s">
        <v>1054</v>
      </c>
    </row>
    <row r="59" spans="2:5">
      <c r="B59" t="s">
        <v>719</v>
      </c>
      <c r="C59" t="s">
        <v>891</v>
      </c>
      <c r="D59" t="s">
        <v>719</v>
      </c>
      <c r="E59" t="s">
        <v>1055</v>
      </c>
    </row>
    <row r="60" spans="2:5">
      <c r="B60" t="s">
        <v>721</v>
      </c>
      <c r="C60" t="s">
        <v>892</v>
      </c>
      <c r="D60" t="s">
        <v>721</v>
      </c>
      <c r="E60" t="s">
        <v>1056</v>
      </c>
    </row>
    <row r="61" spans="2:5">
      <c r="B61" t="s">
        <v>723</v>
      </c>
      <c r="C61" t="s">
        <v>893</v>
      </c>
      <c r="D61" t="s">
        <v>723</v>
      </c>
      <c r="E61" t="s">
        <v>1057</v>
      </c>
    </row>
    <row r="62" spans="2:5">
      <c r="B62" t="s">
        <v>725</v>
      </c>
      <c r="C62" t="s">
        <v>894</v>
      </c>
      <c r="D62" t="s">
        <v>725</v>
      </c>
      <c r="E62" t="s">
        <v>1058</v>
      </c>
    </row>
    <row r="63" spans="2:5">
      <c r="B63" t="s">
        <v>727</v>
      </c>
      <c r="C63" t="s">
        <v>895</v>
      </c>
      <c r="D63" t="s">
        <v>727</v>
      </c>
      <c r="E63" t="s">
        <v>1059</v>
      </c>
    </row>
    <row r="64" spans="2:5">
      <c r="B64" t="s">
        <v>729</v>
      </c>
      <c r="C64" t="s">
        <v>896</v>
      </c>
      <c r="D64" t="s">
        <v>729</v>
      </c>
      <c r="E64" t="s">
        <v>1060</v>
      </c>
    </row>
    <row r="65" spans="2:5">
      <c r="B65" t="s">
        <v>731</v>
      </c>
      <c r="C65" t="s">
        <v>897</v>
      </c>
      <c r="D65" t="s">
        <v>731</v>
      </c>
      <c r="E65" t="s">
        <v>1061</v>
      </c>
    </row>
    <row r="66" spans="2:5">
      <c r="B66" t="s">
        <v>325</v>
      </c>
      <c r="C66" t="s">
        <v>898</v>
      </c>
      <c r="D66" t="s">
        <v>325</v>
      </c>
      <c r="E66" t="s">
        <v>1062</v>
      </c>
    </row>
    <row r="67" spans="2:5">
      <c r="B67" t="s">
        <v>733</v>
      </c>
      <c r="C67" t="s">
        <v>899</v>
      </c>
      <c r="D67" t="s">
        <v>733</v>
      </c>
      <c r="E67" t="s">
        <v>1063</v>
      </c>
    </row>
    <row r="68" spans="2:5">
      <c r="B68" t="s">
        <v>735</v>
      </c>
      <c r="C68" t="s">
        <v>900</v>
      </c>
      <c r="D68" t="s">
        <v>735</v>
      </c>
      <c r="E68" t="s">
        <v>336</v>
      </c>
    </row>
    <row r="69" spans="2:5">
      <c r="B69" t="s">
        <v>737</v>
      </c>
      <c r="C69" t="s">
        <v>901</v>
      </c>
      <c r="D69" t="s">
        <v>737</v>
      </c>
      <c r="E69">
        <v>30.09</v>
      </c>
    </row>
    <row r="70" spans="2:5">
      <c r="B70" t="s">
        <v>739</v>
      </c>
      <c r="C70" t="s">
        <v>902</v>
      </c>
      <c r="D70" t="s">
        <v>739</v>
      </c>
      <c r="E70" t="s">
        <v>1064</v>
      </c>
    </row>
    <row r="71" spans="2:5">
      <c r="B71" t="s">
        <v>741</v>
      </c>
      <c r="C71" t="s">
        <v>903</v>
      </c>
      <c r="D71" t="s">
        <v>741</v>
      </c>
      <c r="E71" t="s">
        <v>1065</v>
      </c>
    </row>
    <row r="72" spans="2:5">
      <c r="B72" t="s">
        <v>743</v>
      </c>
      <c r="C72" t="s">
        <v>904</v>
      </c>
      <c r="D72" t="s">
        <v>743</v>
      </c>
      <c r="E72" t="s">
        <v>744</v>
      </c>
    </row>
    <row r="73" spans="2:5">
      <c r="B73" t="s">
        <v>745</v>
      </c>
      <c r="C73" t="s">
        <v>905</v>
      </c>
      <c r="D73" t="s">
        <v>745</v>
      </c>
      <c r="E73" t="s">
        <v>1066</v>
      </c>
    </row>
    <row r="74" spans="2:5">
      <c r="B74" t="s">
        <v>747</v>
      </c>
      <c r="C74" t="s">
        <v>906</v>
      </c>
      <c r="D74" t="s">
        <v>747</v>
      </c>
      <c r="E74" t="s">
        <v>1067</v>
      </c>
    </row>
    <row r="75" spans="2:5">
      <c r="B75" t="s">
        <v>310</v>
      </c>
      <c r="C75" t="s">
        <v>907</v>
      </c>
      <c r="D75" t="s">
        <v>310</v>
      </c>
      <c r="E75" t="s">
        <v>1068</v>
      </c>
    </row>
    <row r="76" spans="2:5">
      <c r="B76" t="s">
        <v>312</v>
      </c>
      <c r="C76" t="s">
        <v>908</v>
      </c>
      <c r="D76" t="s">
        <v>312</v>
      </c>
      <c r="E76" t="s">
        <v>1069</v>
      </c>
    </row>
    <row r="77" spans="2:5">
      <c r="B77" t="s">
        <v>314</v>
      </c>
      <c r="C77" t="s">
        <v>909</v>
      </c>
      <c r="D77" t="s">
        <v>314</v>
      </c>
      <c r="E77" t="s">
        <v>270</v>
      </c>
    </row>
    <row r="78" spans="2:5">
      <c r="B78">
        <v>10.65</v>
      </c>
      <c r="C78" t="s">
        <v>910</v>
      </c>
      <c r="D78">
        <v>10.65</v>
      </c>
      <c r="E78" t="s">
        <v>1070</v>
      </c>
    </row>
    <row r="79" spans="2:5">
      <c r="B79">
        <v>11.67</v>
      </c>
      <c r="C79" t="s">
        <v>911</v>
      </c>
      <c r="D79">
        <v>11.67</v>
      </c>
      <c r="E79" t="s">
        <v>1071</v>
      </c>
    </row>
    <row r="80" spans="2:5">
      <c r="B80">
        <v>12.79</v>
      </c>
      <c r="C80" t="s">
        <v>912</v>
      </c>
      <c r="D80">
        <v>12.79</v>
      </c>
      <c r="E80" t="s">
        <v>1072</v>
      </c>
    </row>
    <row r="81" spans="2:5">
      <c r="B81">
        <v>14.02</v>
      </c>
      <c r="C81" t="s">
        <v>913</v>
      </c>
      <c r="D81">
        <v>14.12</v>
      </c>
      <c r="E81" t="s">
        <v>1073</v>
      </c>
    </row>
    <row r="82" spans="2:5">
      <c r="B82" t="s">
        <v>320</v>
      </c>
      <c r="C82" t="s">
        <v>914</v>
      </c>
      <c r="D82" t="s">
        <v>320</v>
      </c>
      <c r="E82">
        <v>12.4</v>
      </c>
    </row>
    <row r="83" spans="2:5">
      <c r="B83" t="s">
        <v>322</v>
      </c>
      <c r="C83" t="s">
        <v>915</v>
      </c>
      <c r="D83" t="s">
        <v>322</v>
      </c>
      <c r="E83">
        <v>11.44</v>
      </c>
    </row>
    <row r="84" spans="2:5">
      <c r="B84" t="s">
        <v>324</v>
      </c>
      <c r="C84">
        <v>12.78</v>
      </c>
      <c r="D84" t="s">
        <v>324</v>
      </c>
      <c r="E84">
        <v>10.56</v>
      </c>
    </row>
    <row r="85" spans="2:5">
      <c r="B85" t="s">
        <v>326</v>
      </c>
      <c r="C85">
        <v>11.92</v>
      </c>
      <c r="D85" t="s">
        <v>326</v>
      </c>
      <c r="E85" t="s">
        <v>1074</v>
      </c>
    </row>
    <row r="86" spans="2:5">
      <c r="B86" t="s">
        <v>328</v>
      </c>
      <c r="C86">
        <v>11.14</v>
      </c>
      <c r="D86" t="s">
        <v>328</v>
      </c>
      <c r="E86" t="s">
        <v>1075</v>
      </c>
    </row>
    <row r="87" spans="2:5">
      <c r="B87" t="s">
        <v>330</v>
      </c>
      <c r="C87">
        <v>10.4</v>
      </c>
      <c r="D87" t="s">
        <v>330</v>
      </c>
      <c r="E87" t="s">
        <v>1076</v>
      </c>
    </row>
    <row r="88" spans="2:5">
      <c r="B88" t="s">
        <v>332</v>
      </c>
      <c r="C88" t="s">
        <v>916</v>
      </c>
      <c r="D88" t="s">
        <v>332</v>
      </c>
      <c r="E88" t="s">
        <v>1077</v>
      </c>
    </row>
    <row r="89" spans="2:5">
      <c r="B89" t="s">
        <v>334</v>
      </c>
      <c r="C89" t="s">
        <v>917</v>
      </c>
      <c r="D89" t="s">
        <v>334</v>
      </c>
      <c r="E89" t="s">
        <v>1078</v>
      </c>
    </row>
    <row r="90" spans="2:5">
      <c r="B90" t="s">
        <v>336</v>
      </c>
      <c r="C90" t="s">
        <v>918</v>
      </c>
      <c r="D90" t="s">
        <v>336</v>
      </c>
      <c r="E90" t="s">
        <v>1079</v>
      </c>
    </row>
    <row r="91" spans="2:5">
      <c r="B91" t="s">
        <v>338</v>
      </c>
      <c r="C91" t="s">
        <v>919</v>
      </c>
      <c r="D91" t="s">
        <v>338</v>
      </c>
      <c r="E91" t="s">
        <v>1080</v>
      </c>
    </row>
    <row r="92" spans="2:5">
      <c r="B92" t="s">
        <v>340</v>
      </c>
      <c r="C92" t="s">
        <v>920</v>
      </c>
      <c r="D92" t="s">
        <v>340</v>
      </c>
      <c r="E92" t="s">
        <v>1081</v>
      </c>
    </row>
    <row r="93" spans="2:5">
      <c r="B93" t="s">
        <v>342</v>
      </c>
      <c r="C93" t="s">
        <v>921</v>
      </c>
      <c r="D93" t="s">
        <v>342</v>
      </c>
      <c r="E93" t="s">
        <v>1082</v>
      </c>
    </row>
    <row r="94" spans="2:5">
      <c r="B94" t="s">
        <v>344</v>
      </c>
      <c r="C94" t="s">
        <v>922</v>
      </c>
      <c r="D94" t="s">
        <v>344</v>
      </c>
      <c r="E94" t="s">
        <v>1083</v>
      </c>
    </row>
    <row r="95" spans="2:5">
      <c r="B95" t="s">
        <v>346</v>
      </c>
      <c r="C95" t="s">
        <v>923</v>
      </c>
      <c r="D95" t="s">
        <v>346</v>
      </c>
      <c r="E95" t="s">
        <v>1084</v>
      </c>
    </row>
    <row r="96" spans="2:5">
      <c r="B96" t="s">
        <v>348</v>
      </c>
      <c r="C96" t="s">
        <v>924</v>
      </c>
      <c r="D96" t="s">
        <v>348</v>
      </c>
      <c r="E96" t="s">
        <v>1085</v>
      </c>
    </row>
    <row r="97" spans="2:5">
      <c r="B97" t="s">
        <v>350</v>
      </c>
      <c r="C97" t="s">
        <v>925</v>
      </c>
      <c r="D97" t="s">
        <v>350</v>
      </c>
      <c r="E97" t="s">
        <v>1086</v>
      </c>
    </row>
    <row r="98" spans="2:5">
      <c r="B98" t="s">
        <v>926</v>
      </c>
      <c r="C98" t="s">
        <v>927</v>
      </c>
      <c r="D98" t="s">
        <v>352</v>
      </c>
      <c r="E98" t="s">
        <v>1087</v>
      </c>
    </row>
    <row r="99" spans="2:5">
      <c r="B99" t="s">
        <v>354</v>
      </c>
      <c r="C99" t="s">
        <v>928</v>
      </c>
      <c r="D99" t="s">
        <v>354</v>
      </c>
      <c r="E99" t="s">
        <v>1088</v>
      </c>
    </row>
    <row r="100" spans="2:5">
      <c r="B100" t="s">
        <v>356</v>
      </c>
      <c r="C100" t="s">
        <v>929</v>
      </c>
      <c r="D100" t="s">
        <v>356</v>
      </c>
      <c r="E100" t="s">
        <v>1089</v>
      </c>
    </row>
    <row r="101" spans="2:5">
      <c r="B101" t="s">
        <v>358</v>
      </c>
      <c r="C101" t="s">
        <v>930</v>
      </c>
      <c r="D101" t="s">
        <v>358</v>
      </c>
      <c r="E101" t="s">
        <v>1090</v>
      </c>
    </row>
    <row r="102" spans="2:5">
      <c r="B102" t="s">
        <v>360</v>
      </c>
      <c r="C102" t="s">
        <v>931</v>
      </c>
      <c r="D102" t="s">
        <v>360</v>
      </c>
      <c r="E102" t="s">
        <v>1091</v>
      </c>
    </row>
    <row r="103" spans="2:5">
      <c r="B103" t="s">
        <v>362</v>
      </c>
      <c r="C103" t="s">
        <v>932</v>
      </c>
      <c r="D103" t="s">
        <v>362</v>
      </c>
      <c r="E103" t="s">
        <v>534</v>
      </c>
    </row>
    <row r="104" spans="2:5">
      <c r="B104" t="s">
        <v>364</v>
      </c>
      <c r="C104" t="s">
        <v>933</v>
      </c>
      <c r="D104" t="s">
        <v>364</v>
      </c>
      <c r="E104" t="s">
        <v>1092</v>
      </c>
    </row>
    <row r="105" spans="2:5">
      <c r="B105" t="s">
        <v>366</v>
      </c>
      <c r="C105" t="s">
        <v>934</v>
      </c>
      <c r="D105" t="s">
        <v>366</v>
      </c>
      <c r="E105" t="s">
        <v>1093</v>
      </c>
    </row>
    <row r="106" spans="2:5">
      <c r="B106" t="s">
        <v>368</v>
      </c>
      <c r="C106" t="s">
        <v>935</v>
      </c>
      <c r="D106" t="s">
        <v>368</v>
      </c>
      <c r="E106" t="s">
        <v>1094</v>
      </c>
    </row>
    <row r="107" spans="2:5">
      <c r="B107" t="s">
        <v>370</v>
      </c>
      <c r="C107" t="s">
        <v>936</v>
      </c>
      <c r="D107" t="s">
        <v>370</v>
      </c>
      <c r="E107" t="s">
        <v>1095</v>
      </c>
    </row>
    <row r="108" spans="2:5">
      <c r="B108" t="s">
        <v>372</v>
      </c>
      <c r="C108" t="s">
        <v>937</v>
      </c>
      <c r="D108" t="s">
        <v>372</v>
      </c>
      <c r="E108" t="s">
        <v>1096</v>
      </c>
    </row>
    <row r="109" spans="2:5">
      <c r="B109" t="s">
        <v>374</v>
      </c>
      <c r="C109" t="s">
        <v>938</v>
      </c>
      <c r="D109" t="s">
        <v>374</v>
      </c>
      <c r="E109" t="s">
        <v>1097</v>
      </c>
    </row>
    <row r="110" spans="2:5">
      <c r="B110" t="s">
        <v>376</v>
      </c>
      <c r="C110" t="s">
        <v>939</v>
      </c>
      <c r="D110" t="s">
        <v>376</v>
      </c>
      <c r="E110" t="s">
        <v>1098</v>
      </c>
    </row>
    <row r="111" spans="2:5">
      <c r="B111" t="s">
        <v>378</v>
      </c>
      <c r="C111" t="s">
        <v>774</v>
      </c>
      <c r="D111" t="s">
        <v>378</v>
      </c>
      <c r="E111" t="s">
        <v>1099</v>
      </c>
    </row>
    <row r="112" spans="2:5">
      <c r="B112" t="s">
        <v>380</v>
      </c>
      <c r="C112" t="s">
        <v>940</v>
      </c>
      <c r="D112" t="s">
        <v>380</v>
      </c>
      <c r="E112" t="s">
        <v>1100</v>
      </c>
    </row>
    <row r="113" spans="2:5">
      <c r="B113" t="s">
        <v>382</v>
      </c>
      <c r="C113" t="s">
        <v>941</v>
      </c>
      <c r="D113" t="s">
        <v>382</v>
      </c>
      <c r="E113" t="s">
        <v>1101</v>
      </c>
    </row>
    <row r="114" spans="2:5">
      <c r="B114" t="s">
        <v>384</v>
      </c>
      <c r="C114" t="s">
        <v>942</v>
      </c>
      <c r="D114" t="s">
        <v>384</v>
      </c>
      <c r="E114" t="s">
        <v>1102</v>
      </c>
    </row>
    <row r="115" spans="2:5">
      <c r="B115" t="s">
        <v>386</v>
      </c>
      <c r="C115" t="s">
        <v>943</v>
      </c>
      <c r="D115" t="s">
        <v>386</v>
      </c>
      <c r="E115" t="s">
        <v>1103</v>
      </c>
    </row>
    <row r="116" spans="2:5">
      <c r="B116" t="s">
        <v>388</v>
      </c>
      <c r="C116" t="s">
        <v>944</v>
      </c>
      <c r="D116" t="s">
        <v>388</v>
      </c>
      <c r="E116" t="s">
        <v>1104</v>
      </c>
    </row>
    <row r="117" spans="2:5">
      <c r="B117" t="s">
        <v>389</v>
      </c>
      <c r="C117" t="s">
        <v>945</v>
      </c>
      <c r="D117" t="s">
        <v>389</v>
      </c>
      <c r="E117" t="s">
        <v>1105</v>
      </c>
    </row>
    <row r="118" spans="2:5">
      <c r="B118" t="s">
        <v>391</v>
      </c>
      <c r="C118" t="s">
        <v>946</v>
      </c>
      <c r="D118" t="s">
        <v>391</v>
      </c>
      <c r="E118" t="s">
        <v>1106</v>
      </c>
    </row>
    <row r="119" spans="2:5">
      <c r="B119" t="s">
        <v>393</v>
      </c>
      <c r="C119" t="s">
        <v>947</v>
      </c>
      <c r="D119" t="s">
        <v>393</v>
      </c>
      <c r="E119" t="s">
        <v>1107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16</vt:i4>
      </vt:variant>
    </vt:vector>
  </HeadingPairs>
  <TitlesOfParts>
    <vt:vector size="16" baseType="lpstr">
      <vt:lpstr>Podsum (Lepkość Kinexus)</vt:lpstr>
      <vt:lpstr>kulki z porogrnem (wlaściwe)</vt:lpstr>
      <vt:lpstr>Drop casting parametry</vt:lpstr>
      <vt:lpstr>Wyt.na.Ści + Por.cał. DC</vt:lpstr>
      <vt:lpstr>Wyt. na zginanie (bez DC)</vt:lpstr>
      <vt:lpstr>spieczone kulki</vt:lpstr>
      <vt:lpstr>pomiar spiecz. kulki</vt:lpstr>
      <vt:lpstr>Sheet6</vt:lpstr>
      <vt:lpstr>Masa 19</vt:lpstr>
      <vt:lpstr>Masa 15</vt:lpstr>
      <vt:lpstr>Masa 17</vt:lpstr>
      <vt:lpstr>Masa 18</vt:lpstr>
      <vt:lpstr>Masa 14</vt:lpstr>
      <vt:lpstr>15_19</vt:lpstr>
      <vt:lpstr>17_19</vt:lpstr>
      <vt:lpstr>18_14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Falkowski Paweł</dc:creator>
  <cp:keywords/>
  <dc:description/>
  <cp:lastModifiedBy>teblesz</cp:lastModifiedBy>
  <cp:revision/>
  <dcterms:created xsi:type="dcterms:W3CDTF">2025-10-01T09:00:57Z</dcterms:created>
  <dcterms:modified xsi:type="dcterms:W3CDTF">2026-09-21T01:42:24Z</dcterms:modified>
  <cp:category/>
  <cp:contentStatus/>
</cp:coreProperties>
</file>