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KINGA\Praca Inżynierska - aktualizacja dysku\moja praca\Wykresy - Python\chemia_prez_cz2\datasets3\"/>
    </mc:Choice>
  </mc:AlternateContent>
  <bookViews>
    <workbookView xWindow="-105" yWindow="-105" windowWidth="23250" windowHeight="12450" firstSheet="1" activeTab="4"/>
  </bookViews>
  <sheets>
    <sheet name="size" sheetId="1" r:id="rId1"/>
    <sheet name="zeta Al2O3" sheetId="2" r:id="rId2"/>
    <sheet name="zeta CC31" sheetId="3" r:id="rId3"/>
    <sheet name="zeta  Al2O3+CE64" sheetId="4" r:id="rId4"/>
    <sheet name="Arkusz1" sheetId="6" r:id="rId5"/>
    <sheet name="zeta KK16" sheetId="5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78" i="4" l="1"/>
  <c r="O77" i="4"/>
  <c r="O76" i="4"/>
  <c r="O75" i="4"/>
  <c r="O74" i="4"/>
  <c r="O73" i="4"/>
  <c r="O72" i="4"/>
  <c r="O71" i="4"/>
  <c r="N78" i="4"/>
  <c r="N77" i="4"/>
  <c r="N76" i="4"/>
  <c r="N75" i="4"/>
  <c r="N74" i="4"/>
  <c r="N73" i="4"/>
  <c r="N72" i="4"/>
  <c r="N71" i="4"/>
  <c r="O46" i="4"/>
  <c r="O45" i="4"/>
  <c r="O44" i="4"/>
  <c r="O43" i="4"/>
  <c r="O42" i="4"/>
  <c r="O41" i="4"/>
  <c r="O40" i="4"/>
  <c r="O39" i="4"/>
  <c r="O38" i="4"/>
  <c r="O37" i="4"/>
  <c r="O36" i="4"/>
  <c r="O35" i="4"/>
  <c r="N46" i="4"/>
  <c r="N45" i="4"/>
  <c r="N44" i="4"/>
  <c r="N43" i="4"/>
  <c r="N42" i="4"/>
  <c r="N41" i="4"/>
  <c r="N40" i="4"/>
  <c r="N39" i="4"/>
  <c r="N38" i="4"/>
  <c r="N37" i="4"/>
  <c r="N36" i="4"/>
  <c r="N35" i="4"/>
  <c r="O18" i="3"/>
  <c r="N18" i="3"/>
  <c r="O17" i="3"/>
  <c r="N17" i="3"/>
  <c r="O16" i="3"/>
  <c r="N16" i="3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O8" i="3"/>
  <c r="N8" i="3"/>
  <c r="I26" i="2"/>
  <c r="J26" i="2"/>
  <c r="I5" i="2"/>
  <c r="J92" i="4"/>
  <c r="I92" i="4"/>
  <c r="J89" i="4"/>
  <c r="I89" i="4"/>
  <c r="J86" i="4"/>
  <c r="I86" i="4"/>
  <c r="J83" i="4"/>
  <c r="I83" i="4"/>
  <c r="J80" i="4"/>
  <c r="I80" i="4"/>
  <c r="J77" i="4"/>
  <c r="I77" i="4"/>
  <c r="J74" i="4"/>
  <c r="I74" i="4"/>
  <c r="J71" i="4"/>
  <c r="I71" i="4"/>
  <c r="J68" i="4"/>
  <c r="I68" i="4"/>
  <c r="J65" i="4"/>
  <c r="I65" i="4"/>
  <c r="J62" i="4"/>
  <c r="I62" i="4"/>
  <c r="J59" i="4"/>
  <c r="I59" i="4"/>
  <c r="J56" i="4"/>
  <c r="I56" i="4"/>
  <c r="J53" i="4"/>
  <c r="I53" i="4"/>
  <c r="J50" i="4"/>
  <c r="I50" i="4"/>
  <c r="J47" i="4"/>
  <c r="I47" i="4"/>
  <c r="J44" i="4"/>
  <c r="I44" i="4"/>
  <c r="J41" i="4"/>
  <c r="I41" i="4"/>
  <c r="J38" i="4"/>
  <c r="I38" i="4"/>
  <c r="J35" i="4"/>
  <c r="I35" i="4"/>
  <c r="J32" i="4"/>
  <c r="O14" i="4" s="1"/>
  <c r="I32" i="4"/>
  <c r="N14" i="4" s="1"/>
  <c r="J29" i="4"/>
  <c r="O13" i="4" s="1"/>
  <c r="I29" i="4"/>
  <c r="N13" i="4" s="1"/>
  <c r="J26" i="4"/>
  <c r="O12" i="4" s="1"/>
  <c r="I26" i="4"/>
  <c r="N12" i="4" s="1"/>
  <c r="J23" i="4"/>
  <c r="O11" i="4" s="1"/>
  <c r="I23" i="4"/>
  <c r="N11" i="4" s="1"/>
  <c r="J20" i="4"/>
  <c r="O10" i="4" s="1"/>
  <c r="I20" i="4"/>
  <c r="N10" i="4" s="1"/>
  <c r="J17" i="4"/>
  <c r="O9" i="4" s="1"/>
  <c r="I17" i="4"/>
  <c r="N9" i="4" s="1"/>
  <c r="J14" i="4"/>
  <c r="O8" i="4" s="1"/>
  <c r="I14" i="4"/>
  <c r="N8" i="4" s="1"/>
  <c r="J11" i="4"/>
  <c r="O7" i="4" s="1"/>
  <c r="I11" i="4"/>
  <c r="N7" i="4" s="1"/>
  <c r="J8" i="4"/>
  <c r="O6" i="4" s="1"/>
  <c r="I8" i="4"/>
  <c r="N6" i="4" s="1"/>
  <c r="J5" i="4"/>
  <c r="O5" i="4" s="1"/>
  <c r="I5" i="4"/>
  <c r="N5" i="4" s="1"/>
  <c r="J38" i="3"/>
  <c r="O7" i="3" s="1"/>
  <c r="I38" i="3"/>
  <c r="N7" i="3" s="1"/>
  <c r="J35" i="3"/>
  <c r="I35" i="3"/>
  <c r="J32" i="3"/>
  <c r="I32" i="3"/>
  <c r="J29" i="3"/>
  <c r="I29" i="3"/>
  <c r="J26" i="3"/>
  <c r="I26" i="3"/>
  <c r="J23" i="3"/>
  <c r="I23" i="3"/>
  <c r="J20" i="3"/>
  <c r="I20" i="3"/>
  <c r="J17" i="3"/>
  <c r="I17" i="3"/>
  <c r="J14" i="3"/>
  <c r="I14" i="3"/>
  <c r="J11" i="3"/>
  <c r="I11" i="3"/>
  <c r="J8" i="3"/>
  <c r="I8" i="3"/>
  <c r="J5" i="3"/>
  <c r="I5" i="3"/>
  <c r="J44" i="5"/>
  <c r="O13" i="5" s="1"/>
  <c r="I44" i="5"/>
  <c r="N13" i="5" s="1"/>
  <c r="J41" i="5"/>
  <c r="O11" i="5" s="1"/>
  <c r="I41" i="5"/>
  <c r="N11" i="5" s="1"/>
  <c r="J38" i="5"/>
  <c r="I38" i="5"/>
  <c r="J35" i="5"/>
  <c r="O6" i="5" s="1"/>
  <c r="I35" i="5"/>
  <c r="N6" i="5" s="1"/>
  <c r="J32" i="5"/>
  <c r="O7" i="5" s="1"/>
  <c r="I32" i="5"/>
  <c r="N7" i="5" s="1"/>
  <c r="J29" i="5"/>
  <c r="O8" i="5" s="1"/>
  <c r="I29" i="5"/>
  <c r="N8" i="5" s="1"/>
  <c r="J26" i="5"/>
  <c r="O9" i="5" s="1"/>
  <c r="I26" i="5"/>
  <c r="N9" i="5" s="1"/>
  <c r="J23" i="5"/>
  <c r="O18" i="5" s="1"/>
  <c r="I23" i="5"/>
  <c r="N18" i="5" s="1"/>
  <c r="J20" i="5"/>
  <c r="O17" i="5" s="1"/>
  <c r="I20" i="5"/>
  <c r="N17" i="5" s="1"/>
  <c r="J17" i="5"/>
  <c r="O16" i="5" s="1"/>
  <c r="I17" i="5"/>
  <c r="N16" i="5" s="1"/>
  <c r="J14" i="5"/>
  <c r="O15" i="5" s="1"/>
  <c r="I14" i="5"/>
  <c r="N15" i="5" s="1"/>
  <c r="J11" i="5"/>
  <c r="O14" i="5" s="1"/>
  <c r="I11" i="5"/>
  <c r="N14" i="5" s="1"/>
  <c r="J8" i="5"/>
  <c r="O12" i="5" s="1"/>
  <c r="I8" i="5"/>
  <c r="N12" i="5" s="1"/>
  <c r="J5" i="5"/>
  <c r="O10" i="5" s="1"/>
  <c r="I5" i="5"/>
  <c r="N10" i="5" s="1"/>
  <c r="J14" i="2"/>
  <c r="I14" i="2"/>
  <c r="J32" i="2"/>
  <c r="I32" i="2"/>
  <c r="J29" i="2"/>
  <c r="I29" i="2"/>
  <c r="J23" i="2"/>
  <c r="I23" i="2"/>
  <c r="J20" i="2"/>
  <c r="I20" i="2"/>
  <c r="J17" i="2"/>
  <c r="I17" i="2"/>
  <c r="J11" i="2"/>
  <c r="I11" i="2"/>
  <c r="J8" i="2"/>
  <c r="I8" i="2"/>
  <c r="J5" i="2"/>
</calcChain>
</file>

<file path=xl/sharedStrings.xml><?xml version="1.0" encoding="utf-8"?>
<sst xmlns="http://schemas.openxmlformats.org/spreadsheetml/2006/main" count="691" uniqueCount="418">
  <si>
    <t>wielkość cząstek tlenku glinu mierzoną metodą DLS</t>
  </si>
  <si>
    <t>pomiar</t>
  </si>
  <si>
    <t>D10</t>
  </si>
  <si>
    <t>D50</t>
  </si>
  <si>
    <t>D90</t>
  </si>
  <si>
    <r>
      <t>D10</t>
    </r>
    <r>
      <rPr>
        <sz val="11"/>
        <color theme="1"/>
        <rFont val="Aptos Narrow"/>
        <family val="2"/>
        <charset val="238"/>
        <scheme val="minor"/>
      </rPr>
      <t xml:space="preserve">: Określa rozmiar, poniżej którego znajduje się </t>
    </r>
    <r>
      <rPr>
        <sz val="10"/>
        <color theme="1"/>
        <rFont val="Arial"/>
        <family val="2"/>
        <charset val="238"/>
      </rPr>
      <t>10%</t>
    </r>
    <r>
      <rPr>
        <sz val="11"/>
        <color theme="1"/>
        <rFont val="Aptos Narrow"/>
        <family val="2"/>
        <charset val="238"/>
        <scheme val="minor"/>
      </rPr>
      <t xml:space="preserve"> objętości lub masy wszystkich cząstek w próbce.</t>
    </r>
  </si>
  <si>
    <r>
      <t>D50</t>
    </r>
    <r>
      <rPr>
        <sz val="11"/>
        <color theme="1"/>
        <rFont val="Aptos Narrow"/>
        <family val="2"/>
        <charset val="238"/>
        <scheme val="minor"/>
      </rPr>
      <t xml:space="preserve"> (mediana): Reprezentuje wartość środkową; dokładnie </t>
    </r>
    <r>
      <rPr>
        <sz val="10"/>
        <color theme="1"/>
        <rFont val="Arial"/>
        <family val="2"/>
        <charset val="238"/>
      </rPr>
      <t>50%</t>
    </r>
    <r>
      <rPr>
        <sz val="11"/>
        <color theme="1"/>
        <rFont val="Aptos Narrow"/>
        <family val="2"/>
        <charset val="238"/>
        <scheme val="minor"/>
      </rPr>
      <t xml:space="preserve"> cząstek jest mniejszych, a </t>
    </r>
    <r>
      <rPr>
        <sz val="10"/>
        <color theme="1"/>
        <rFont val="Arial"/>
        <family val="2"/>
        <charset val="238"/>
      </rPr>
      <t>50%</t>
    </r>
    <r>
      <rPr>
        <sz val="11"/>
        <color theme="1"/>
        <rFont val="Aptos Narrow"/>
        <family val="2"/>
        <charset val="238"/>
        <scheme val="minor"/>
      </rPr>
      <t xml:space="preserve"> większych od tej średnicy.</t>
    </r>
  </si>
  <si>
    <r>
      <t>D90</t>
    </r>
    <r>
      <rPr>
        <sz val="11"/>
        <color theme="1"/>
        <rFont val="Aptos Narrow"/>
        <family val="2"/>
        <charset val="238"/>
        <scheme val="minor"/>
      </rPr>
      <t xml:space="preserve">: Oznacza rozmiar, poniżej którego znajduje się </t>
    </r>
    <r>
      <rPr>
        <sz val="10"/>
        <color theme="1"/>
        <rFont val="Arial"/>
        <family val="2"/>
        <charset val="238"/>
      </rPr>
      <t>90%</t>
    </r>
    <r>
      <rPr>
        <sz val="11"/>
        <color theme="1"/>
        <rFont val="Aptos Narrow"/>
        <family val="2"/>
        <charset val="238"/>
        <scheme val="minor"/>
      </rPr>
      <t xml:space="preserve"> objętości lub masy cząstek.</t>
    </r>
  </si>
  <si>
    <t>Record</t>
  </si>
  <si>
    <t>Type</t>
  </si>
  <si>
    <t>Sample Name</t>
  </si>
  <si>
    <t>Measurement Date and Time</t>
  </si>
  <si>
    <t>T</t>
  </si>
  <si>
    <t>ZP</t>
  </si>
  <si>
    <t>Mob</t>
  </si>
  <si>
    <t>Cond</t>
  </si>
  <si>
    <t xml:space="preserve"> </t>
  </si>
  <si>
    <t>°C</t>
  </si>
  <si>
    <t>mV</t>
  </si>
  <si>
    <t>µmcm/Vs</t>
  </si>
  <si>
    <t>mS/cm</t>
  </si>
  <si>
    <t>średnia</t>
  </si>
  <si>
    <t>odchylenie</t>
  </si>
  <si>
    <t>Zeta</t>
  </si>
  <si>
    <t>Al2O3  A16SG pH= 6,55 1</t>
  </si>
  <si>
    <t>środa, 18 lutego 2026 16:21:17</t>
  </si>
  <si>
    <t>pH</t>
  </si>
  <si>
    <t>zeta</t>
  </si>
  <si>
    <t>Al2O3  A16SG pH= 6,55 2</t>
  </si>
  <si>
    <t>środa, 18 lutego 2026 16:23:16</t>
  </si>
  <si>
    <t>Al2O3  A16SG pH= 6,55 3</t>
  </si>
  <si>
    <t>środa, 18 lutego 2026 16:23:56</t>
  </si>
  <si>
    <t>Al2O3  A16SG pH= 7,21 1</t>
  </si>
  <si>
    <t>środa, 18 lutego 2026 16:31:50</t>
  </si>
  <si>
    <t>Al2O3  A16SG pH= 7,21 2</t>
  </si>
  <si>
    <t>środa, 18 lutego 2026 16:33:50</t>
  </si>
  <si>
    <t>Al2O3  A16SG pH= 7,21 3</t>
  </si>
  <si>
    <t>środa, 18 lutego 2026 16:34:30</t>
  </si>
  <si>
    <t>Al2O3  A16SG pH= 8,37 1</t>
  </si>
  <si>
    <t>środa, 18 lutego 2026 16:41:15</t>
  </si>
  <si>
    <t>Al2O3  A16SG pH= 8,37 2</t>
  </si>
  <si>
    <t>środa, 18 lutego 2026 16:43:15</t>
  </si>
  <si>
    <t>Al2O3  A16SG pH= 8,37 3</t>
  </si>
  <si>
    <t>środa, 18 lutego 2026 16:43:55</t>
  </si>
  <si>
    <t>Al2O3  A16SG pH= 9,49 1</t>
  </si>
  <si>
    <t>środa, 18 lutego 2026 16:47:43</t>
  </si>
  <si>
    <t>Al2O3  A16SG pH= 9,49 2</t>
  </si>
  <si>
    <t>środa, 18 lutego 2026 16:49:43</t>
  </si>
  <si>
    <t>Al2O3  A16SG pH= 9,49 3</t>
  </si>
  <si>
    <t>środa, 18 lutego 2026 16:50:23</t>
  </si>
  <si>
    <t>Al2O3  A16SG pH= 10,3 1</t>
  </si>
  <si>
    <t>środa, 18 lutego 2026 16:53:57</t>
  </si>
  <si>
    <t>Al2O3  A16SG pH= 10,3 2</t>
  </si>
  <si>
    <t>środa, 18 lutego 2026 16:55:57</t>
  </si>
  <si>
    <t>Al2O3  A16SG pH= 10,3 3</t>
  </si>
  <si>
    <t>środa, 18 lutego 2026 16:56:37</t>
  </si>
  <si>
    <t>Al2O3  A16SG pH= 11.4 1</t>
  </si>
  <si>
    <t>środa, 18 lutego 2026 17:00:10</t>
  </si>
  <si>
    <t>Al2O3  A16SG pH= 11.4 2</t>
  </si>
  <si>
    <t>środa, 18 lutego 2026 17:02:10</t>
  </si>
  <si>
    <t>Al2O3  A16SG pH= 11.4 3</t>
  </si>
  <si>
    <t>środa, 18 lutego 2026 17:02:50</t>
  </si>
  <si>
    <t>Al2O3  A16SG pH= 6.82 1</t>
  </si>
  <si>
    <t>środa, 18 lutego 2026 17:10:42</t>
  </si>
  <si>
    <t>Al2O3  A16SG pH= 6.82 2</t>
  </si>
  <si>
    <t>środa, 18 lutego 2026 17:12:43</t>
  </si>
  <si>
    <t>Al2O3  A16SG pH= 6.82 3</t>
  </si>
  <si>
    <t>środa, 18 lutego 2026 17:13:53</t>
  </si>
  <si>
    <t>Al2O3  A16SG pH= 5,88 1</t>
  </si>
  <si>
    <t>środa, 18 lutego 2026 17:20:50</t>
  </si>
  <si>
    <t>Al2O3  A16SG pH= 5,88 2</t>
  </si>
  <si>
    <t>środa, 18 lutego 2026 17:22:50</t>
  </si>
  <si>
    <t>Al2O3  A16SG pH= 5,88 3</t>
  </si>
  <si>
    <t>środa, 18 lutego 2026 17:23:30</t>
  </si>
  <si>
    <t>Al2O3  A16SG pH= 4.65 1</t>
  </si>
  <si>
    <t>środa, 18 lutego 2026 17:25:32</t>
  </si>
  <si>
    <t>Al2O3  A16SG pH= 4.65 2</t>
  </si>
  <si>
    <t>środa, 18 lutego 2026 17:27:32</t>
  </si>
  <si>
    <t>Al2O3  A16SG pH= 4.65 3</t>
  </si>
  <si>
    <t>środa, 18 lutego 2026 17:28:11</t>
  </si>
  <si>
    <t>Al2O3  A16SG pH= 3.77 1</t>
  </si>
  <si>
    <t>środa, 18 lutego 2026 17:30:22</t>
  </si>
  <si>
    <t>Al2O3  A16SG pH= 3.77 2</t>
  </si>
  <si>
    <t>środa, 18 lutego 2026 17:32:22</t>
  </si>
  <si>
    <t>Al2O3  A16SG pH= 3.77 3</t>
  </si>
  <si>
    <t>środa, 18 lutego 2026 17:33:02</t>
  </si>
  <si>
    <t>CC31 pH= 6.55 1</t>
  </si>
  <si>
    <t>środa, 25 lutego 2026 15:07:50</t>
  </si>
  <si>
    <t>CC31 pH= 6.55 2</t>
  </si>
  <si>
    <t>środa, 25 lutego 2026 15:09:52</t>
  </si>
  <si>
    <t>CC31 pH= 6.55 3</t>
  </si>
  <si>
    <t>środa, 25 lutego 2026 15:10:35</t>
  </si>
  <si>
    <t>CC31 pH= 7.84 1</t>
  </si>
  <si>
    <t>środa, 25 lutego 2026 15:22:56</t>
  </si>
  <si>
    <t>CC31 pH= 7.84 2</t>
  </si>
  <si>
    <t>środa, 25 lutego 2026 15:24:56</t>
  </si>
  <si>
    <t>CC31 pH= 7.84 3</t>
  </si>
  <si>
    <t>środa, 25 lutego 2026 15:25:36</t>
  </si>
  <si>
    <t>CC31 pH= 9,03 1</t>
  </si>
  <si>
    <t>środa, 25 lutego 2026 15:36:00</t>
  </si>
  <si>
    <t>CC31 pH= 9,03 2</t>
  </si>
  <si>
    <t>środa, 25 lutego 2026 15:37:59</t>
  </si>
  <si>
    <t>CC31 pH= 9,03 3</t>
  </si>
  <si>
    <t>środa, 25 lutego 2026 15:38:39</t>
  </si>
  <si>
    <t>CC31 pH= 10.10 1</t>
  </si>
  <si>
    <t>środa, 25 lutego 2026 15:40:44</t>
  </si>
  <si>
    <t>CC31 pH= 10.10 2</t>
  </si>
  <si>
    <t>środa, 25 lutego 2026 15:42:44</t>
  </si>
  <si>
    <t>CC31 pH= 10.10 3</t>
  </si>
  <si>
    <t>środa, 25 lutego 2026 15:43:24</t>
  </si>
  <si>
    <t>CC31 pH= 11.06 1</t>
  </si>
  <si>
    <t>środa, 25 lutego 2026 15:46:14</t>
  </si>
  <si>
    <t>CC31 pH= 11.06 2</t>
  </si>
  <si>
    <t>środa, 25 lutego 2026 15:48:13</t>
  </si>
  <si>
    <t>CC31 pH= 11.06 3</t>
  </si>
  <si>
    <t>środa, 25 lutego 2026 15:48:53</t>
  </si>
  <si>
    <t>CC31 pH= 12.03 1</t>
  </si>
  <si>
    <t>środa, 25 lutego 2026 15:51:59</t>
  </si>
  <si>
    <t>CC31 pH= 12.03 2</t>
  </si>
  <si>
    <t>środa, 25 lutego 2026 15:53:57</t>
  </si>
  <si>
    <t>środa, 25 lutego 2026 15:57:37</t>
  </si>
  <si>
    <t>CC31 pH= 12.33 1</t>
  </si>
  <si>
    <t>środa, 25 lutego 2026 16:13:25</t>
  </si>
  <si>
    <t>CC31 pH= 12.33 2</t>
  </si>
  <si>
    <t>środa, 25 lutego 2026 16:17:07</t>
  </si>
  <si>
    <t>CC31 pH= 12.33 3</t>
  </si>
  <si>
    <t>środa, 25 lutego 2026 16:19:29</t>
  </si>
  <si>
    <t>CC31 pH= 6.83 1</t>
  </si>
  <si>
    <t>środa, 25 lutego 2026 16:24:24</t>
  </si>
  <si>
    <t>CC31 pH= 6.83 2</t>
  </si>
  <si>
    <t>środa, 25 lutego 2026 16:26:24</t>
  </si>
  <si>
    <t>CC31 pH= 6.83 3</t>
  </si>
  <si>
    <t>środa, 25 lutego 2026 16:27:04</t>
  </si>
  <si>
    <t>CC31 pH= 5.89 1</t>
  </si>
  <si>
    <t>środa, 25 lutego 2026 16:29:58</t>
  </si>
  <si>
    <t>CC31 pH= 5.89 2</t>
  </si>
  <si>
    <t>środa, 25 lutego 2026 16:31:58</t>
  </si>
  <si>
    <t>CC31 pH= 5.89 3</t>
  </si>
  <si>
    <t>środa, 25 lutego 2026 16:32:38</t>
  </si>
  <si>
    <t>CC31 pH= 4.49 1</t>
  </si>
  <si>
    <t>środa, 25 lutego 2026 16:35:58</t>
  </si>
  <si>
    <t>CC31 pH= 4.49 2</t>
  </si>
  <si>
    <t>środa, 25 lutego 2026 16:37:58</t>
  </si>
  <si>
    <t>CC31 pH= 4.49 3</t>
  </si>
  <si>
    <t>środa, 25 lutego 2026 16:38:38</t>
  </si>
  <si>
    <t>CC31 pH= 3.69 1</t>
  </si>
  <si>
    <t>środa, 25 lutego 2026 16:41:33</t>
  </si>
  <si>
    <t>CC31 pH= 3.69 2</t>
  </si>
  <si>
    <t>środa, 25 lutego 2026 16:43:33</t>
  </si>
  <si>
    <t>CC31 pH= 3.69 3</t>
  </si>
  <si>
    <t>środa, 25 lutego 2026 16:48:38</t>
  </si>
  <si>
    <t>CC31 pH= 3.02 1</t>
  </si>
  <si>
    <t>środa, 25 lutego 2026 16:51:17</t>
  </si>
  <si>
    <t>CC31 pH= 3.02 2</t>
  </si>
  <si>
    <t>środa, 25 lutego 2026 16:53:21</t>
  </si>
  <si>
    <t>CC31 pH= 3.02 3</t>
  </si>
  <si>
    <t>środa, 25 lutego 2026 16:54:53</t>
  </si>
  <si>
    <t>Al2O3+ CE64 0,6%wag  pH= 6.66 1</t>
  </si>
  <si>
    <t>czwartek, 26 lutego 2026 14:56:04</t>
  </si>
  <si>
    <t>Al2O3+ CE64 0,6%wag  pH= 6.66 2</t>
  </si>
  <si>
    <t>czwartek, 26 lutego 2026 14:58:05</t>
  </si>
  <si>
    <t>Al2O3+ CE64 0,6%wag  pH= 6.66 3</t>
  </si>
  <si>
    <t>czwartek, 26 lutego 2026 14:58:45</t>
  </si>
  <si>
    <t>Al2O3+ CE64 0,6%wag  pH= 7.63 1</t>
  </si>
  <si>
    <t>czwartek, 26 lutego 2026 15:01:50</t>
  </si>
  <si>
    <t>Al2O3+ CE64 0,6%wag  pH= 7.63 2</t>
  </si>
  <si>
    <t>czwartek, 26 lutego 2026 15:03:50</t>
  </si>
  <si>
    <t>Al2O3+ CE64 0,6%wag  pH= 7.63 3</t>
  </si>
  <si>
    <t>czwartek, 26 lutego 2026 15:04:42</t>
  </si>
  <si>
    <t>Al2O3+ CE64 0,6%wag  pH= 9.36 1</t>
  </si>
  <si>
    <t>czwartek, 26 lutego 2026 15:12:04</t>
  </si>
  <si>
    <t>Al2O3+ CE64 0,6%wag  pH= 9.36 2</t>
  </si>
  <si>
    <t>czwartek, 26 lutego 2026 15:14:04</t>
  </si>
  <si>
    <t>Al2O3+ CE64 0,6%wag  pH= 9.36 3</t>
  </si>
  <si>
    <t>czwartek, 26 lutego 2026 15:14:44</t>
  </si>
  <si>
    <t>Al2O3+ CE64 0,6%wag  pH= 10.11 1</t>
  </si>
  <si>
    <t>czwartek, 26 lutego 2026 15:22:20</t>
  </si>
  <si>
    <t>Al2O3+ CE64 0,6%wag  pH= 10.11 2</t>
  </si>
  <si>
    <t>czwartek, 26 lutego 2026 15:24:20</t>
  </si>
  <si>
    <t>Al2O3+ CE64 0,6%wag  pH= 10.11 3</t>
  </si>
  <si>
    <t>czwartek, 26 lutego 2026 15:25:00</t>
  </si>
  <si>
    <t>Al2O3+ CE64 0,6%wag  pH= 8.24 1</t>
  </si>
  <si>
    <t>czwartek, 26 lutego 2026 15:44:19</t>
  </si>
  <si>
    <t>Al2O3+ CE64 0,6%wag  pH= 8.24 2</t>
  </si>
  <si>
    <t>czwartek, 26 lutego 2026 15:46:19</t>
  </si>
  <si>
    <t>Al2O3+ CE64 0,6%wag  pH= 8.24 3</t>
  </si>
  <si>
    <t>czwartek, 26 lutego 2026 15:47:02</t>
  </si>
  <si>
    <t>Al2O3+ CE64 0,6%wag  pH= 6.88 1</t>
  </si>
  <si>
    <t>czwartek, 26 lutego 2026 15:51:46</t>
  </si>
  <si>
    <t>Al2O3+ CE64 0,6%wag  pH= 6.88 2</t>
  </si>
  <si>
    <t>czwartek, 26 lutego 2026 15:53:46</t>
  </si>
  <si>
    <t>Al2O3+ CE64 0,6%wag  pH= 6.88 3</t>
  </si>
  <si>
    <t>czwartek, 26 lutego 2026 15:54:26</t>
  </si>
  <si>
    <t>Al2O3+ CE64 0,6%wag  pH= 5.89 1</t>
  </si>
  <si>
    <t>czwartek, 26 lutego 2026 15:56:39</t>
  </si>
  <si>
    <t>Al2O3+ CE64 0,6%wag  pH= 5.89 2</t>
  </si>
  <si>
    <t>czwartek, 26 lutego 2026 15:58:39</t>
  </si>
  <si>
    <t>Al2O3+ CE64 0,6%wag  pH= 5.89 3</t>
  </si>
  <si>
    <t>czwartek, 26 lutego 2026 15:59:19</t>
  </si>
  <si>
    <t>Al2O3+ CE64 0,6%wag  pH= 4.77 1</t>
  </si>
  <si>
    <t>czwartek, 26 lutego 2026 16:01:55</t>
  </si>
  <si>
    <t>Al2O3+ CE64 0,6%wag  pH= 4.77 2</t>
  </si>
  <si>
    <t>czwartek, 26 lutego 2026 16:03:55</t>
  </si>
  <si>
    <t>Al2O3+ CE64 0,6%wag  pH= 4.77 3</t>
  </si>
  <si>
    <t>czwartek, 26 lutego 2026 16:04:35</t>
  </si>
  <si>
    <t>Al2O3+ CE64 0,6%wag  pH= 3.77 1</t>
  </si>
  <si>
    <t>czwartek, 26 lutego 2026 16:08:04</t>
  </si>
  <si>
    <t>Al2O3+ CE64 0,6%wag  pH= 3.77 2</t>
  </si>
  <si>
    <t>czwartek, 26 lutego 2026 16:10:04</t>
  </si>
  <si>
    <t>Al2O3+ CE64 0,6%wag  pH= 3.77 3</t>
  </si>
  <si>
    <t>czwartek, 26 lutego 2026 16:10:47</t>
  </si>
  <si>
    <t>Al2O3+ CE64 0,6%wag  pH= 3.04 1</t>
  </si>
  <si>
    <t>czwartek, 26 lutego 2026 16:12:59</t>
  </si>
  <si>
    <t>Al2O3+ CE64 0,6%wag  pH= 3.04 2</t>
  </si>
  <si>
    <t>czwartek, 26 lutego 2026 16:14:59</t>
  </si>
  <si>
    <t>Al2O3+ CE64 0,6%wag  pH= 3.04 3</t>
  </si>
  <si>
    <t>czwartek, 26 lutego 2026 16:15:39</t>
  </si>
  <si>
    <t>Al2O3+ CE64 0,8%wag  pH= 6.59 1</t>
  </si>
  <si>
    <t>czwartek, 26 lutego 2026 16:25:22</t>
  </si>
  <si>
    <t>Al2O3+ CE64 0,8%wag  pH= 6.59 2</t>
  </si>
  <si>
    <t>czwartek, 26 lutego 2026 16:27:22</t>
  </si>
  <si>
    <t>Al2O3+ CE64 0,8%wag  pH= 6.59 3</t>
  </si>
  <si>
    <t>czwartek, 26 lutego 2026 16:28:02</t>
  </si>
  <si>
    <t>Al2O3+ CE64 0,8%wag  pH= 7.25 1</t>
  </si>
  <si>
    <t>czwartek, 26 lutego 2026 16:30:32</t>
  </si>
  <si>
    <t>Al2O3+ CE64 0,8%wag  pH= 7.25 2</t>
  </si>
  <si>
    <t>czwartek, 26 lutego 2026 16:32:32</t>
  </si>
  <si>
    <t>Al2O3+ CE64 0,8%wag  pH= 7.25 3</t>
  </si>
  <si>
    <t>czwartek, 26 lutego 2026 16:33:12</t>
  </si>
  <si>
    <t>Al2O3+ CE64 0,8%wag  pH= 9.15 1</t>
  </si>
  <si>
    <t>czwartek, 26 lutego 2026 16:55:38</t>
  </si>
  <si>
    <t>Al2O3+ CE64 0,8%wag  pH= 9.15 2</t>
  </si>
  <si>
    <t>czwartek, 26 lutego 2026 16:57:38</t>
  </si>
  <si>
    <t>Al2O3+ CE64 0,8%wag  pH= 9.15 3</t>
  </si>
  <si>
    <t>czwartek, 26 lutego 2026 16:58:18</t>
  </si>
  <si>
    <t>Al2O3+ CE64 0,8%wag  pH= 10.14 1</t>
  </si>
  <si>
    <t>czwartek, 26 lutego 2026 17:00:42</t>
  </si>
  <si>
    <t>Al2O3+ CE64 0,8%wag  pH= 10.14 2</t>
  </si>
  <si>
    <t>czwartek, 26 lutego 2026 17:02:41</t>
  </si>
  <si>
    <t>Al2O3+ CE64 0,8%wag  pH= 10.14 3</t>
  </si>
  <si>
    <t>czwartek, 26 lutego 2026 17:03:21</t>
  </si>
  <si>
    <t>Al2O3+ CE64 0,8%wag  pH= 11.07 1</t>
  </si>
  <si>
    <t>czwartek, 26 lutego 2026 17:05:35</t>
  </si>
  <si>
    <t>Al2O3+ CE64 0,8%wag  pH= 11.07 2</t>
  </si>
  <si>
    <t>czwartek, 26 lutego 2026 17:07:35</t>
  </si>
  <si>
    <t>Al2O3+ CE64 0,8%wag  pH= 11.07 3</t>
  </si>
  <si>
    <t>czwartek, 26 lutego 2026 17:08:15</t>
  </si>
  <si>
    <t>Al2O3+ CE64 0,8%wag  pH= 12.04 1</t>
  </si>
  <si>
    <t>czwartek, 26 lutego 2026 17:10:15</t>
  </si>
  <si>
    <t>Al2O3+ CE64 0,8%wag  pH= 12.04 2</t>
  </si>
  <si>
    <t>czwartek, 26 lutego 2026 17:12:14</t>
  </si>
  <si>
    <t>Al2O3+ CE64 0,8%wag  pH= 12.04 3</t>
  </si>
  <si>
    <t>czwartek, 26 lutego 2026 17:12:54</t>
  </si>
  <si>
    <t>Al2O3+ CE64 0,8%wag  pH= 6.77 1</t>
  </si>
  <si>
    <t>czwartek, 26 lutego 2026 17:20:00</t>
  </si>
  <si>
    <t>Al2O3+ CE64 0,8%wag  pH= 6.77 2</t>
  </si>
  <si>
    <t>czwartek, 26 lutego 2026 17:22:00</t>
  </si>
  <si>
    <t>Al2O3+ CE64 0,8%wag  pH= 6.77 3</t>
  </si>
  <si>
    <t>czwartek, 26 lutego 2026 17:22:40</t>
  </si>
  <si>
    <t>Al2O3+ CE64 0,8%wag  pH= 6.04 1</t>
  </si>
  <si>
    <t>czwartek, 26 lutego 2026 17:24:45</t>
  </si>
  <si>
    <t>Al2O3+ CE64 0,8%wag  pH= 6.04 2</t>
  </si>
  <si>
    <t>czwartek, 26 lutego 2026 17:26:45</t>
  </si>
  <si>
    <t>Al2O3+ CE64 0,8%wag  pH= 6.04 3</t>
  </si>
  <si>
    <t>czwartek, 26 lutego 2026 17:27:25</t>
  </si>
  <si>
    <t>Al2O3+ CE64 0,8%wag  pH= 5.10 1</t>
  </si>
  <si>
    <t>czwartek, 26 lutego 2026 17:29:09</t>
  </si>
  <si>
    <t>Al2O3+ CE64 0,8%wag  pH= 5.10 2</t>
  </si>
  <si>
    <t>czwartek, 26 lutego 2026 17:31:24</t>
  </si>
  <si>
    <t>Al2O3+ CE64 0,8%wag  pH= 5.10 3</t>
  </si>
  <si>
    <t>czwartek, 26 lutego 2026 17:32:04</t>
  </si>
  <si>
    <t>Al2O3+ CE64 0,8%wag  pH= 4.11 1</t>
  </si>
  <si>
    <t>czwartek, 26 lutego 2026 17:33:58</t>
  </si>
  <si>
    <t>Al2O3+ CE64 0,8%wag  pH= 4.11 2</t>
  </si>
  <si>
    <t>czwartek, 26 lutego 2026 17:35:58</t>
  </si>
  <si>
    <t>Al2O3+ CE64 0,8%wag  pH= 4.11 3</t>
  </si>
  <si>
    <t>czwartek, 26 lutego 2026 17:36:39</t>
  </si>
  <si>
    <t>Al2O3+ CE64 0,8%wag  pH= 3.09 1</t>
  </si>
  <si>
    <t>czwartek, 26 lutego 2026 17:38:53</t>
  </si>
  <si>
    <t>Al2O3+ CE64 0,8%wag  pH= 3.09 2</t>
  </si>
  <si>
    <t>czwartek, 26 lutego 2026 17:40:53</t>
  </si>
  <si>
    <t>Al2O3+ CE64 0,8%wag  pH= 3.09 3</t>
  </si>
  <si>
    <t>czwartek, 26 lutego 2026 17:41:39</t>
  </si>
  <si>
    <t>czwartek, 26 lutego 2026 17:43:40</t>
  </si>
  <si>
    <t>czwartek, 26 lutego 2026 17:45:46</t>
  </si>
  <si>
    <t>czwartek, 26 lutego 2026 17:46:32</t>
  </si>
  <si>
    <t>Al2O3+ CE64 1%wag  pH= 7.20 1</t>
  </si>
  <si>
    <t>wtorek, 3 marca 2026 15:16:11</t>
  </si>
  <si>
    <t>Al2O3+ CE64 1%wag  pH= 7.20 2</t>
  </si>
  <si>
    <t>wtorek, 3 marca 2026 15:18:11</t>
  </si>
  <si>
    <t>Al2O3+ CE64 1%wag  pH= 7.20 3</t>
  </si>
  <si>
    <t>wtorek, 3 marca 2026 15:18:51</t>
  </si>
  <si>
    <t>Al2O3+ CE64 1%wag  pH=  8.58 1</t>
  </si>
  <si>
    <t>wtorek, 3 marca 2026 15:59:27</t>
  </si>
  <si>
    <t>Al2O3+ CE64 1%wag  pH=  8.58 2</t>
  </si>
  <si>
    <t>wtorek, 3 marca 2026 16:01:27</t>
  </si>
  <si>
    <t>Al2O3+ CE64 1%wag  pH=  8.58 3</t>
  </si>
  <si>
    <t>wtorek, 3 marca 2026 16:02:07</t>
  </si>
  <si>
    <t>Al2O3+ CE64 1%wag  pH=  11.26 1</t>
  </si>
  <si>
    <t>wtorek, 3 marca 2026 16:13:08</t>
  </si>
  <si>
    <t>Al2O3+ CE64 1%wag  pH=  11.26 2</t>
  </si>
  <si>
    <t>wtorek, 3 marca 2026 16:15:08</t>
  </si>
  <si>
    <t>Al2O3+ CE64 1%wag  pH=  11.26 3</t>
  </si>
  <si>
    <t>wtorek, 3 marca 2026 16:15:48</t>
  </si>
  <si>
    <t>Al2O3+ CE64 1%wag  pH=  12.06 1</t>
  </si>
  <si>
    <t>wtorek, 3 marca 2026 16:21:51</t>
  </si>
  <si>
    <t>Al2O3+ CE64 1%wag  pH=  12.06 2</t>
  </si>
  <si>
    <t>wtorek, 3 marca 2026 16:23:51</t>
  </si>
  <si>
    <t>Al2O3+ CE64 1%wag  pH=  12.06 3</t>
  </si>
  <si>
    <t>wtorek, 3 marca 2026 16:24:31</t>
  </si>
  <si>
    <t>Al2O3+ CE64 1%wag  pH=  6.80 1</t>
  </si>
  <si>
    <t>wtorek, 3 marca 2026 16:27:13</t>
  </si>
  <si>
    <t>Al2O3+ CE64 1%wag  pH=  6.80 2</t>
  </si>
  <si>
    <t>wtorek, 3 marca 2026 16:29:13</t>
  </si>
  <si>
    <t>Al2O3+ CE64 1%wag  pH=  6.80 3</t>
  </si>
  <si>
    <t>wtorek, 3 marca 2026 16:29:53</t>
  </si>
  <si>
    <t>Al2O3+ CE64 1%wag  pH=  6.00 1</t>
  </si>
  <si>
    <t>wtorek, 3 marca 2026 16:37:59</t>
  </si>
  <si>
    <t>Al2O3+ CE64 1%wag  pH=  6.00 2</t>
  </si>
  <si>
    <t>wtorek, 3 marca 2026 16:39:59</t>
  </si>
  <si>
    <t>Al2O3+ CE64 1%wag  pH=  6.00 3</t>
  </si>
  <si>
    <t>wtorek, 3 marca 2026 16:40:39</t>
  </si>
  <si>
    <t>Al2O3+ CE64 1%wag  pH=  5.05 1</t>
  </si>
  <si>
    <t>wtorek, 3 marca 2026 16:42:36</t>
  </si>
  <si>
    <t>Al2O3+ CE64 1%wag  pH=  5.05 2</t>
  </si>
  <si>
    <t>wtorek, 3 marca 2026 16:49:01</t>
  </si>
  <si>
    <t>Al2O3+ CE64 1%wag  pH=  5.05 3</t>
  </si>
  <si>
    <t>wtorek, 3 marca 2026 16:51:39</t>
  </si>
  <si>
    <t>Al2O3+ CE64 1%wag  pH=  4.09 1</t>
  </si>
  <si>
    <t>wtorek, 3 marca 2026 16:59:51</t>
  </si>
  <si>
    <t>Al2O3+ CE64 1%wag  pH=  4.09 2</t>
  </si>
  <si>
    <t>wtorek, 3 marca 2026 17:01:51</t>
  </si>
  <si>
    <t>Al2O3+ CE64 1%wag  pH=  4.09 3</t>
  </si>
  <si>
    <t>wtorek, 3 marca 2026 17:02:31</t>
  </si>
  <si>
    <t>KK16 pH = 7,12 1</t>
  </si>
  <si>
    <t>wtorek, 24 marca 2026 15:21:32</t>
  </si>
  <si>
    <t>KK16 pH = 7,12 2</t>
  </si>
  <si>
    <t>wtorek, 24 marca 2026 15:23:37</t>
  </si>
  <si>
    <t>KK16 pH = 7,12 3</t>
  </si>
  <si>
    <t>wtorek, 24 marca 2026 15:24:20</t>
  </si>
  <si>
    <t>KK16 pH = 8,00 1</t>
  </si>
  <si>
    <t>wtorek, 24 marca 2026 15:29:00</t>
  </si>
  <si>
    <t>KK16 pH = 8,00 2</t>
  </si>
  <si>
    <t>wtorek, 24 marca 2026 15:31:00</t>
  </si>
  <si>
    <t>KK16 pH = 8,00 3</t>
  </si>
  <si>
    <t>wtorek, 24 marca 2026 15:31:40</t>
  </si>
  <si>
    <t>KK16 pH = 9.05 1</t>
  </si>
  <si>
    <t>wtorek, 24 marca 2026 15:33:44</t>
  </si>
  <si>
    <t>KK16 pH = 9.05 2</t>
  </si>
  <si>
    <t>wtorek, 24 marca 2026 15:35:45</t>
  </si>
  <si>
    <t>KK16 pH = 9.05 3</t>
  </si>
  <si>
    <t>wtorek, 24 marca 2026 15:36:28</t>
  </si>
  <si>
    <t>KK16 pH = 9.74 1</t>
  </si>
  <si>
    <t>wtorek, 24 marca 2026 15:39:43</t>
  </si>
  <si>
    <t>KK16 pH = 9.74 2</t>
  </si>
  <si>
    <t>wtorek, 24 marca 2026 15:41:46</t>
  </si>
  <si>
    <t>KK16 pH = 9.74 3</t>
  </si>
  <si>
    <t>wtorek, 24 marca 2026 15:42:26</t>
  </si>
  <si>
    <t>KK16 pH = 10.31 1</t>
  </si>
  <si>
    <t>wtorek, 24 marca 2026 15:45:13</t>
  </si>
  <si>
    <t>KK16 pH = 10.31 2</t>
  </si>
  <si>
    <t>wtorek, 24 marca 2026 15:47:16</t>
  </si>
  <si>
    <t>KK16 pH = 10.31 3</t>
  </si>
  <si>
    <t>wtorek, 24 marca 2026 15:47:56</t>
  </si>
  <si>
    <t>KK16 pH = 11.08 1</t>
  </si>
  <si>
    <t>wtorek, 24 marca 2026 15:51:01</t>
  </si>
  <si>
    <t>KK16 pH = 11.08 2</t>
  </si>
  <si>
    <t>wtorek, 24 marca 2026 15:53:00</t>
  </si>
  <si>
    <t>KK16 pH = 11.08 3</t>
  </si>
  <si>
    <t>wtorek, 24 marca 2026 15:53:41</t>
  </si>
  <si>
    <t>KK16 pH = 12.07 1</t>
  </si>
  <si>
    <t>wtorek, 24 marca 2026 16:02:04</t>
  </si>
  <si>
    <t>KK16 pH = 12.07 2</t>
  </si>
  <si>
    <t>wtorek, 24 marca 2026 16:03:57</t>
  </si>
  <si>
    <t>KK16 pH = 12.07 3</t>
  </si>
  <si>
    <t>wtorek, 24 marca 2026 16:04:21</t>
  </si>
  <si>
    <t>KK16 pH = 6.03 1</t>
  </si>
  <si>
    <t>wtorek, 24 marca 2026 16:16:42</t>
  </si>
  <si>
    <t>KK16 pH = 6.03 2</t>
  </si>
  <si>
    <t>wtorek, 24 marca 2026 16:18:45</t>
  </si>
  <si>
    <t>KK16 pH = 6.03 3</t>
  </si>
  <si>
    <t>wtorek, 24 marca 2026 16:19:26</t>
  </si>
  <si>
    <t>KK16 pH = 5.13 1</t>
  </si>
  <si>
    <t>wtorek, 24 marca 2026 16:27:32</t>
  </si>
  <si>
    <t>KK16 pH = 5.13 2</t>
  </si>
  <si>
    <t>wtorek, 24 marca 2026 16:29:32</t>
  </si>
  <si>
    <t>KK16 pH = 5.13 3</t>
  </si>
  <si>
    <t>wtorek, 24 marca 2026 16:30:13</t>
  </si>
  <si>
    <t>KK16 pH = 4.06 1</t>
  </si>
  <si>
    <t>wtorek, 24 marca 2026 16:31:48</t>
  </si>
  <si>
    <t>KK16 pH = 4.06 2</t>
  </si>
  <si>
    <t>wtorek, 24 marca 2026 16:33:48</t>
  </si>
  <si>
    <t>KK16 pH = 4.06 3</t>
  </si>
  <si>
    <t>wtorek, 24 marca 2026 16:34:28</t>
  </si>
  <si>
    <t>KK16 pH = 3.08 1</t>
  </si>
  <si>
    <t>wtorek, 24 marca 2026 16:36:03</t>
  </si>
  <si>
    <t>KK16 pH = 3.08 2</t>
  </si>
  <si>
    <t>wtorek, 24 marca 2026 16:38:04</t>
  </si>
  <si>
    <t>KK16 pH = 3.08 3</t>
  </si>
  <si>
    <t>wtorek, 24 marca 2026 16:38:43</t>
  </si>
  <si>
    <t>KK16 pH = 10.06 1</t>
  </si>
  <si>
    <t>wtorek, 24 marca 2026 16:46:11</t>
  </si>
  <si>
    <t>KK16 pH = 10.06 2</t>
  </si>
  <si>
    <t>wtorek, 24 marca 2026 16:48:11</t>
  </si>
  <si>
    <t>KK16 pH = 10.06 3</t>
  </si>
  <si>
    <t>wtorek, 24 marca 2026 16:48:54</t>
  </si>
  <si>
    <t>KK16 pH = 7.20 1</t>
  </si>
  <si>
    <t>wtorek, 24 marca 2026 17:00:04</t>
  </si>
  <si>
    <t>KK16 pH = 7.20 2</t>
  </si>
  <si>
    <t>wtorek, 24 marca 2026 17:02:04</t>
  </si>
  <si>
    <t>KK16 pH = 7.20 3</t>
  </si>
  <si>
    <t>wtorek, 24 marca 2026 17:02:44</t>
  </si>
  <si>
    <t>KK16 pH = 8.90 1</t>
  </si>
  <si>
    <t>wtorek, 24 marca 2026 17:16:32</t>
  </si>
  <si>
    <t>KK16 pH = 8.90 2</t>
  </si>
  <si>
    <t>wtorek, 24 marca 2026 17:18:32</t>
  </si>
  <si>
    <t>KK16 pH = 8.90 3</t>
  </si>
  <si>
    <t>wtorek, 24 marca 2026 17:19:12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</si>
</sst>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0" xfId="0" applyFont="1"/>
    <xf numFmtId="2" fontId="0" fillId="0" borderId="0" xfId="0" applyNumberFormat="1"/>
    <xf numFmtId="2" fontId="0" fillId="2" borderId="0" xfId="0" applyNumberFormat="1" applyFill="1"/>
    <xf numFmtId="16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2" fontId="0" fillId="2" borderId="6" xfId="0" applyNumberForma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'zeta Al2O3'!$O$5:$O$14</c:f>
                <c:numCache>
                  <c:formatCode>General</c:formatCode>
                  <c:ptCount val="10"/>
                  <c:pt idx="0">
                    <c:v>0.77674534651540306</c:v>
                  </c:pt>
                  <c:pt idx="1">
                    <c:v>0.45092497528228875</c:v>
                  </c:pt>
                  <c:pt idx="2">
                    <c:v>1.0785793124908956</c:v>
                  </c:pt>
                  <c:pt idx="3">
                    <c:v>0.35118845842842428</c:v>
                  </c:pt>
                  <c:pt idx="4">
                    <c:v>2.9012123902488316</c:v>
                  </c:pt>
                  <c:pt idx="5">
                    <c:v>0.65064070986477152</c:v>
                  </c:pt>
                  <c:pt idx="6">
                    <c:v>0.76376261582597338</c:v>
                  </c:pt>
                  <c:pt idx="7">
                    <c:v>1.1503622617824936</c:v>
                  </c:pt>
                  <c:pt idx="8">
                    <c:v>1.0408329997330665</c:v>
                  </c:pt>
                  <c:pt idx="9">
                    <c:v>2.550163393458019</c:v>
                  </c:pt>
                </c:numCache>
              </c:numRef>
            </c:plus>
            <c:minus>
              <c:numRef>
                <c:f>'zeta Al2O3'!$O$5:$O$14</c:f>
                <c:numCache>
                  <c:formatCode>General</c:formatCode>
                  <c:ptCount val="10"/>
                  <c:pt idx="0">
                    <c:v>0.77674534651540306</c:v>
                  </c:pt>
                  <c:pt idx="1">
                    <c:v>0.45092497528228875</c:v>
                  </c:pt>
                  <c:pt idx="2">
                    <c:v>1.0785793124908956</c:v>
                  </c:pt>
                  <c:pt idx="3">
                    <c:v>0.35118845842842428</c:v>
                  </c:pt>
                  <c:pt idx="4">
                    <c:v>2.9012123902488316</c:v>
                  </c:pt>
                  <c:pt idx="5">
                    <c:v>0.65064070986477152</c:v>
                  </c:pt>
                  <c:pt idx="6">
                    <c:v>0.76376261582597338</c:v>
                  </c:pt>
                  <c:pt idx="7">
                    <c:v>1.1503622617824936</c:v>
                  </c:pt>
                  <c:pt idx="8">
                    <c:v>1.0408329997330665</c:v>
                  </c:pt>
                  <c:pt idx="9">
                    <c:v>2.550163393458019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'zeta Al2O3'!$M$5:$M$14</c:f>
              <c:numCache>
                <c:formatCode>General</c:formatCode>
                <c:ptCount val="10"/>
                <c:pt idx="0">
                  <c:v>3.77</c:v>
                </c:pt>
                <c:pt idx="1">
                  <c:v>4.6500000000000004</c:v>
                </c:pt>
                <c:pt idx="2">
                  <c:v>5.88</c:v>
                </c:pt>
                <c:pt idx="3">
                  <c:v>6.55</c:v>
                </c:pt>
                <c:pt idx="4">
                  <c:v>6.82</c:v>
                </c:pt>
                <c:pt idx="5">
                  <c:v>7.21</c:v>
                </c:pt>
                <c:pt idx="6">
                  <c:v>8.3699999999999992</c:v>
                </c:pt>
                <c:pt idx="7">
                  <c:v>9.49</c:v>
                </c:pt>
                <c:pt idx="8">
                  <c:v>10.31</c:v>
                </c:pt>
                <c:pt idx="9">
                  <c:v>11.4</c:v>
                </c:pt>
              </c:numCache>
            </c:numRef>
          </c:xVal>
          <c:yVal>
            <c:numRef>
              <c:f>'zeta Al2O3'!$N$5:$N$14</c:f>
              <c:numCache>
                <c:formatCode>0.00</c:formatCode>
                <c:ptCount val="10"/>
                <c:pt idx="0">
                  <c:v>21.866666666666699</c:v>
                </c:pt>
                <c:pt idx="1">
                  <c:v>21.533333333333331</c:v>
                </c:pt>
                <c:pt idx="2">
                  <c:v>17.733333333333334</c:v>
                </c:pt>
                <c:pt idx="3">
                  <c:v>12.866666666666667</c:v>
                </c:pt>
                <c:pt idx="4">
                  <c:v>4.5066666666666668</c:v>
                </c:pt>
                <c:pt idx="5">
                  <c:v>-20.433333333333334</c:v>
                </c:pt>
                <c:pt idx="6">
                  <c:v>-23.866666666666664</c:v>
                </c:pt>
                <c:pt idx="7">
                  <c:v>-28.066666666666663</c:v>
                </c:pt>
                <c:pt idx="8">
                  <c:v>-29.133333333333336</c:v>
                </c:pt>
                <c:pt idx="9">
                  <c:v>-36.266666666666666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9B-4C4B-BEAE-7450DB4E1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855968"/>
        <c:axId val="729856448"/>
      </c:scatterChart>
      <c:valAx>
        <c:axId val="72985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29856448"/>
        <c:crosses val="autoZero"/>
        <c:crossBetween val="midCat"/>
      </c:valAx>
      <c:valAx>
        <c:axId val="72985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potencjał zeta [mV]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2985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'zeta CC31'!$M$7:$M$18</c:f>
              <c:numCache>
                <c:formatCode>General</c:formatCode>
                <c:ptCount val="12"/>
                <c:pt idx="0">
                  <c:v>3.02</c:v>
                </c:pt>
                <c:pt idx="1">
                  <c:v>3.69</c:v>
                </c:pt>
                <c:pt idx="2">
                  <c:v>4.49</c:v>
                </c:pt>
                <c:pt idx="3">
                  <c:v>5.89</c:v>
                </c:pt>
                <c:pt idx="4">
                  <c:v>6.55</c:v>
                </c:pt>
                <c:pt idx="5">
                  <c:v>6.83</c:v>
                </c:pt>
                <c:pt idx="6">
                  <c:v>7.84</c:v>
                </c:pt>
                <c:pt idx="7">
                  <c:v>9.0299999999999994</c:v>
                </c:pt>
                <c:pt idx="8">
                  <c:v>10.1</c:v>
                </c:pt>
                <c:pt idx="9">
                  <c:v>11.06</c:v>
                </c:pt>
                <c:pt idx="10">
                  <c:v>12.03</c:v>
                </c:pt>
                <c:pt idx="11">
                  <c:v>12.33</c:v>
                </c:pt>
              </c:numCache>
            </c:numRef>
          </c:xVal>
          <c:yVal>
            <c:numRef>
              <c:f>'zeta CC31'!$N$7:$N$18</c:f>
              <c:numCache>
                <c:formatCode>0.00</c:formatCode>
                <c:ptCount val="12"/>
                <c:pt idx="0">
                  <c:v>-0.24443333333333331</c:v>
                </c:pt>
                <c:pt idx="1">
                  <c:v>-2.1066666666666669</c:v>
                </c:pt>
                <c:pt idx="2">
                  <c:v>-4.18</c:v>
                </c:pt>
                <c:pt idx="3">
                  <c:v>-4.6766666666666667</c:v>
                </c:pt>
                <c:pt idx="4">
                  <c:v>-7.1433333333333335</c:v>
                </c:pt>
                <c:pt idx="5">
                  <c:v>-2.5366666666666666</c:v>
                </c:pt>
                <c:pt idx="6">
                  <c:v>-5.3466666666666667</c:v>
                </c:pt>
                <c:pt idx="7">
                  <c:v>-5.18</c:v>
                </c:pt>
                <c:pt idx="8">
                  <c:v>-5.3933333333333335</c:v>
                </c:pt>
                <c:pt idx="9">
                  <c:v>-4.2533333333333339</c:v>
                </c:pt>
                <c:pt idx="10">
                  <c:v>-6.7833333333333341</c:v>
                </c:pt>
                <c:pt idx="11">
                  <c:v>-5.47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1B-4B05-A5B6-D179A4C62B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855968"/>
        <c:axId val="729856448"/>
      </c:scatterChart>
      <c:valAx>
        <c:axId val="72985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29856448"/>
        <c:crosses val="autoZero"/>
        <c:crossBetween val="midCat"/>
      </c:valAx>
      <c:valAx>
        <c:axId val="72985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potencjał zeta [mV]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2985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'zeta  Al2O3+CE64'!$M$5:$M$14</c:f>
              <c:numCache>
                <c:formatCode>General</c:formatCode>
                <c:ptCount val="10"/>
                <c:pt idx="0">
                  <c:v>6.66</c:v>
                </c:pt>
                <c:pt idx="1">
                  <c:v>7.63</c:v>
                </c:pt>
                <c:pt idx="2">
                  <c:v>9.36</c:v>
                </c:pt>
                <c:pt idx="3">
                  <c:v>10.11</c:v>
                </c:pt>
                <c:pt idx="4">
                  <c:v>8.24</c:v>
                </c:pt>
                <c:pt idx="5">
                  <c:v>6.88</c:v>
                </c:pt>
                <c:pt idx="6">
                  <c:v>5.89</c:v>
                </c:pt>
                <c:pt idx="7">
                  <c:v>4.7699999999999996</c:v>
                </c:pt>
                <c:pt idx="8">
                  <c:v>3.77</c:v>
                </c:pt>
                <c:pt idx="9">
                  <c:v>3.04</c:v>
                </c:pt>
              </c:numCache>
            </c:numRef>
          </c:xVal>
          <c:yVal>
            <c:numRef>
              <c:f>'zeta  Al2O3+CE64'!$N$5:$N$14</c:f>
              <c:numCache>
                <c:formatCode>0.00</c:formatCode>
                <c:ptCount val="10"/>
                <c:pt idx="0">
                  <c:v>-19.533333333333335</c:v>
                </c:pt>
                <c:pt idx="1">
                  <c:v>-23.366666666666664</c:v>
                </c:pt>
                <c:pt idx="2">
                  <c:v>-22.166666666666668</c:v>
                </c:pt>
                <c:pt idx="3">
                  <c:v>-17.466666666666669</c:v>
                </c:pt>
                <c:pt idx="4">
                  <c:v>-22.5</c:v>
                </c:pt>
                <c:pt idx="5">
                  <c:v>-18.399999999999999</c:v>
                </c:pt>
                <c:pt idx="6">
                  <c:v>-6.19</c:v>
                </c:pt>
                <c:pt idx="7">
                  <c:v>8.9333333333333336</c:v>
                </c:pt>
                <c:pt idx="8">
                  <c:v>16.366666666666664</c:v>
                </c:pt>
                <c:pt idx="9">
                  <c:v>24.733333333333331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07-43AC-9129-17EC22E2B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855968"/>
        <c:axId val="729856448"/>
      </c:scatterChart>
      <c:valAx>
        <c:axId val="72985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29856448"/>
        <c:crosses val="autoZero"/>
        <c:crossBetween val="midCat"/>
      </c:valAx>
      <c:valAx>
        <c:axId val="72985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potencjał zeta [mV]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2985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'zeta  Al2O3+CE64'!$M$35:$M$46</c:f>
              <c:numCache>
                <c:formatCode>General</c:formatCode>
                <c:ptCount val="12"/>
                <c:pt idx="0">
                  <c:v>6.59</c:v>
                </c:pt>
                <c:pt idx="1">
                  <c:v>7.25</c:v>
                </c:pt>
                <c:pt idx="2">
                  <c:v>9.15</c:v>
                </c:pt>
                <c:pt idx="3">
                  <c:v>10.14</c:v>
                </c:pt>
                <c:pt idx="4">
                  <c:v>11.07</c:v>
                </c:pt>
                <c:pt idx="5">
                  <c:v>12.04</c:v>
                </c:pt>
                <c:pt idx="6">
                  <c:v>6.77</c:v>
                </c:pt>
                <c:pt idx="7">
                  <c:v>6.04</c:v>
                </c:pt>
                <c:pt idx="8">
                  <c:v>5.0999999999999996</c:v>
                </c:pt>
                <c:pt idx="9">
                  <c:v>4.1100000000000003</c:v>
                </c:pt>
                <c:pt idx="10">
                  <c:v>3.09</c:v>
                </c:pt>
                <c:pt idx="11">
                  <c:v>3.09</c:v>
                </c:pt>
              </c:numCache>
            </c:numRef>
          </c:xVal>
          <c:yVal>
            <c:numRef>
              <c:f>'zeta  Al2O3+CE64'!$N$35:$N$46</c:f>
              <c:numCache>
                <c:formatCode>0.00</c:formatCode>
                <c:ptCount val="12"/>
                <c:pt idx="0">
                  <c:v>-21.400000000000002</c:v>
                </c:pt>
                <c:pt idx="1">
                  <c:v>-23.066666666666666</c:v>
                </c:pt>
                <c:pt idx="2">
                  <c:v>-23.133333333333336</c:v>
                </c:pt>
                <c:pt idx="3">
                  <c:v>-23.366666666666664</c:v>
                </c:pt>
                <c:pt idx="4">
                  <c:v>-18.400000000000002</c:v>
                </c:pt>
                <c:pt idx="5">
                  <c:v>-20.566666666666666</c:v>
                </c:pt>
                <c:pt idx="6">
                  <c:v>-23.3</c:v>
                </c:pt>
                <c:pt idx="7">
                  <c:v>-13.200000000000001</c:v>
                </c:pt>
                <c:pt idx="8">
                  <c:v>-2.75</c:v>
                </c:pt>
                <c:pt idx="9">
                  <c:v>9.93</c:v>
                </c:pt>
                <c:pt idx="10">
                  <c:v>19.966666666666669</c:v>
                </c:pt>
                <c:pt idx="11">
                  <c:v>22.066666666666666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15-425D-BB0F-F3E77E1AA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855968"/>
        <c:axId val="729856448"/>
      </c:scatterChart>
      <c:valAx>
        <c:axId val="72985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29856448"/>
        <c:crosses val="autoZero"/>
        <c:crossBetween val="midCat"/>
      </c:valAx>
      <c:valAx>
        <c:axId val="72985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potencjał zeta [mV]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2985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'zeta  Al2O3+CE64'!$M$71:$M$78</c:f>
              <c:numCache>
                <c:formatCode>General</c:formatCode>
                <c:ptCount val="8"/>
                <c:pt idx="0">
                  <c:v>7.2</c:v>
                </c:pt>
                <c:pt idx="1">
                  <c:v>8.58</c:v>
                </c:pt>
                <c:pt idx="2">
                  <c:v>11.26</c:v>
                </c:pt>
                <c:pt idx="3">
                  <c:v>12.06</c:v>
                </c:pt>
                <c:pt idx="4">
                  <c:v>6.8</c:v>
                </c:pt>
                <c:pt idx="5">
                  <c:v>6</c:v>
                </c:pt>
                <c:pt idx="6">
                  <c:v>5.05</c:v>
                </c:pt>
                <c:pt idx="7">
                  <c:v>4.09</c:v>
                </c:pt>
              </c:numCache>
            </c:numRef>
          </c:xVal>
          <c:yVal>
            <c:numRef>
              <c:f>'zeta  Al2O3+CE64'!$N$71:$N$78</c:f>
              <c:numCache>
                <c:formatCode>0.00</c:formatCode>
                <c:ptCount val="8"/>
                <c:pt idx="0">
                  <c:v>-20.333333333333332</c:v>
                </c:pt>
                <c:pt idx="1">
                  <c:v>-17.333333333333332</c:v>
                </c:pt>
                <c:pt idx="2">
                  <c:v>-19.366666666666664</c:v>
                </c:pt>
                <c:pt idx="3">
                  <c:v>-26.533333333333331</c:v>
                </c:pt>
                <c:pt idx="4">
                  <c:v>-22.733333333333334</c:v>
                </c:pt>
                <c:pt idx="5">
                  <c:v>-9.6366666666666667</c:v>
                </c:pt>
                <c:pt idx="6">
                  <c:v>1.1333333333333333</c:v>
                </c:pt>
                <c:pt idx="7">
                  <c:v>9.0233333333333334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C2-4790-8732-E69096EF3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855968"/>
        <c:axId val="729856448"/>
      </c:scatterChart>
      <c:valAx>
        <c:axId val="72985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29856448"/>
        <c:crosses val="autoZero"/>
        <c:crossBetween val="midCat"/>
      </c:valAx>
      <c:valAx>
        <c:axId val="72985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potencjał zeta [mV]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2985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trendline>
            <c:spPr>
              <a:ln w="19050" cap="flat" cmpd="sng" algn="ctr">
                <a:solidFill>
                  <a:srgbClr val="A02B93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'zeta  Al2O3+CE64'!$M$35:$M$46</c:f>
              <c:numCache>
                <c:formatCode>General</c:formatCode>
                <c:ptCount val="12"/>
                <c:pt idx="0">
                  <c:v>6.59</c:v>
                </c:pt>
                <c:pt idx="1">
                  <c:v>7.25</c:v>
                </c:pt>
                <c:pt idx="2">
                  <c:v>9.15</c:v>
                </c:pt>
                <c:pt idx="3">
                  <c:v>10.14</c:v>
                </c:pt>
                <c:pt idx="4">
                  <c:v>11.07</c:v>
                </c:pt>
                <c:pt idx="5">
                  <c:v>12.04</c:v>
                </c:pt>
                <c:pt idx="6">
                  <c:v>6.77</c:v>
                </c:pt>
                <c:pt idx="7">
                  <c:v>6.04</c:v>
                </c:pt>
                <c:pt idx="8">
                  <c:v>5.0999999999999996</c:v>
                </c:pt>
                <c:pt idx="9">
                  <c:v>4.1100000000000003</c:v>
                </c:pt>
                <c:pt idx="10">
                  <c:v>3.09</c:v>
                </c:pt>
                <c:pt idx="11">
                  <c:v>3.09</c:v>
                </c:pt>
              </c:numCache>
            </c:numRef>
          </c:xVal>
          <c:yVal>
            <c:numRef>
              <c:f>'zeta  Al2O3+CE64'!$N$35:$N$46</c:f>
              <c:numCache>
                <c:formatCode>0.00</c:formatCode>
                <c:ptCount val="12"/>
                <c:pt idx="0">
                  <c:v>-21.400000000000002</c:v>
                </c:pt>
                <c:pt idx="1">
                  <c:v>-23.066666666666666</c:v>
                </c:pt>
                <c:pt idx="2">
                  <c:v>-23.133333333333336</c:v>
                </c:pt>
                <c:pt idx="3">
                  <c:v>-23.366666666666664</c:v>
                </c:pt>
                <c:pt idx="4">
                  <c:v>-18.400000000000002</c:v>
                </c:pt>
                <c:pt idx="5">
                  <c:v>-20.566666666666666</c:v>
                </c:pt>
                <c:pt idx="6">
                  <c:v>-23.3</c:v>
                </c:pt>
                <c:pt idx="7">
                  <c:v>-13.200000000000001</c:v>
                </c:pt>
                <c:pt idx="8">
                  <c:v>-2.75</c:v>
                </c:pt>
                <c:pt idx="9">
                  <c:v>9.93</c:v>
                </c:pt>
                <c:pt idx="10">
                  <c:v>19.966666666666669</c:v>
                </c:pt>
                <c:pt idx="11">
                  <c:v>22.066666666666666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A3-4110-94CB-4EF24438F829}"/>
            </c:ext>
          </c:extLst>
        </c:ser>
        <c:ser>
          <c:idx val="1"/>
          <c:order val="1"/>
          <c:spPr>
            <a:ln w="19050" cap="rnd">
              <a:solidFill>
                <a:srgbClr val="FFFFFF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F2CEEF"/>
              </a:solidFill>
              <a:ln w="9525">
                <a:solidFill>
                  <a:srgbClr val="F2CEEF"/>
                </a:solidFill>
                <a:prstDash val="solid"/>
              </a:ln>
              <a:effectLst/>
            </c:spPr>
          </c:marker>
          <c:trendline>
            <c:spPr>
              <a:ln w="19050" cap="flat" cmpd="sng" algn="ctr">
                <a:solidFill>
                  <a:srgbClr val="F2CEE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'zeta  Al2O3+CE64'!$M$5:$M$14</c:f>
              <c:numCache>
                <c:formatCode>General</c:formatCode>
                <c:ptCount val="10"/>
                <c:pt idx="0">
                  <c:v>6.66</c:v>
                </c:pt>
                <c:pt idx="1">
                  <c:v>7.63</c:v>
                </c:pt>
                <c:pt idx="2">
                  <c:v>9.36</c:v>
                </c:pt>
                <c:pt idx="3">
                  <c:v>10.11</c:v>
                </c:pt>
                <c:pt idx="4">
                  <c:v>8.24</c:v>
                </c:pt>
                <c:pt idx="5">
                  <c:v>6.88</c:v>
                </c:pt>
                <c:pt idx="6">
                  <c:v>5.89</c:v>
                </c:pt>
                <c:pt idx="7">
                  <c:v>4.7699999999999996</c:v>
                </c:pt>
                <c:pt idx="8">
                  <c:v>3.77</c:v>
                </c:pt>
                <c:pt idx="9">
                  <c:v>3.04</c:v>
                </c:pt>
              </c:numCache>
            </c:numRef>
          </c:xVal>
          <c:yVal>
            <c:numRef>
              <c:f>'zeta  Al2O3+CE64'!$N$5:$N$14</c:f>
              <c:numCache>
                <c:formatCode>0.00</c:formatCode>
                <c:ptCount val="10"/>
                <c:pt idx="0">
                  <c:v>-19.533333333333335</c:v>
                </c:pt>
                <c:pt idx="1">
                  <c:v>-23.366666666666664</c:v>
                </c:pt>
                <c:pt idx="2">
                  <c:v>-22.166666666666668</c:v>
                </c:pt>
                <c:pt idx="3">
                  <c:v>-17.466666666666669</c:v>
                </c:pt>
                <c:pt idx="4">
                  <c:v>-22.5</c:v>
                </c:pt>
                <c:pt idx="5">
                  <c:v>-18.399999999999999</c:v>
                </c:pt>
                <c:pt idx="6">
                  <c:v>-6.19</c:v>
                </c:pt>
                <c:pt idx="7">
                  <c:v>8.9333333333333336</c:v>
                </c:pt>
                <c:pt idx="8">
                  <c:v>16.366666666666664</c:v>
                </c:pt>
                <c:pt idx="9">
                  <c:v>24.733333333333331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94-4099-B9BA-28758F6275DB}"/>
            </c:ext>
          </c:extLst>
        </c:ser>
        <c:ser>
          <c:idx val="2"/>
          <c:order val="2"/>
          <c:spPr>
            <a:ln w="19050" cap="rnd">
              <a:solidFill>
                <a:srgbClr val="FFFFFF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0F9ED5"/>
              </a:solidFill>
              <a:ln w="9525">
                <a:solidFill>
                  <a:srgbClr val="0F9ED5"/>
                </a:solidFill>
                <a:prstDash val="solid"/>
              </a:ln>
              <a:effectLst/>
            </c:spPr>
          </c:marker>
          <c:trendline>
            <c:spPr>
              <a:ln w="19050" cap="flat" cmpd="sng" algn="ctr">
                <a:solidFill>
                  <a:srgbClr val="0F9ED5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'zeta  Al2O3+CE64'!$M$71:$M$78</c:f>
              <c:numCache>
                <c:formatCode>General</c:formatCode>
                <c:ptCount val="8"/>
                <c:pt idx="0">
                  <c:v>7.2</c:v>
                </c:pt>
                <c:pt idx="1">
                  <c:v>8.58</c:v>
                </c:pt>
                <c:pt idx="2">
                  <c:v>11.26</c:v>
                </c:pt>
                <c:pt idx="3">
                  <c:v>12.06</c:v>
                </c:pt>
                <c:pt idx="4">
                  <c:v>6.8</c:v>
                </c:pt>
                <c:pt idx="5">
                  <c:v>6</c:v>
                </c:pt>
                <c:pt idx="6">
                  <c:v>5.05</c:v>
                </c:pt>
                <c:pt idx="7">
                  <c:v>4.09</c:v>
                </c:pt>
              </c:numCache>
            </c:numRef>
          </c:xVal>
          <c:yVal>
            <c:numRef>
              <c:f>'zeta  Al2O3+CE64'!$N$71:$N$78</c:f>
              <c:numCache>
                <c:formatCode>0.00</c:formatCode>
                <c:ptCount val="8"/>
                <c:pt idx="0">
                  <c:v>-20.333333333333332</c:v>
                </c:pt>
                <c:pt idx="1">
                  <c:v>-17.333333333333332</c:v>
                </c:pt>
                <c:pt idx="2">
                  <c:v>-19.366666666666664</c:v>
                </c:pt>
                <c:pt idx="3">
                  <c:v>-26.533333333333331</c:v>
                </c:pt>
                <c:pt idx="4">
                  <c:v>-22.733333333333334</c:v>
                </c:pt>
                <c:pt idx="5">
                  <c:v>-9.6366666666666667</c:v>
                </c:pt>
                <c:pt idx="6">
                  <c:v>1.1333333333333333</c:v>
                </c:pt>
                <c:pt idx="7">
                  <c:v>9.0233333333333334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594-4099-B9BA-28758F627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855968"/>
        <c:axId val="729856448"/>
      </c:scatterChart>
      <c:valAx>
        <c:axId val="72985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29856448"/>
        <c:crosses val="autoZero"/>
        <c:crossBetween val="midCat"/>
      </c:valAx>
      <c:valAx>
        <c:axId val="72985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potencjał zeta [mV]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2985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'zeta KK16'!$M$6:$M$18</c:f>
              <c:numCache>
                <c:formatCode>General</c:formatCode>
                <c:ptCount val="13"/>
                <c:pt idx="0">
                  <c:v>3.08</c:v>
                </c:pt>
                <c:pt idx="1">
                  <c:v>4.0599999999999996</c:v>
                </c:pt>
                <c:pt idx="2">
                  <c:v>5.31</c:v>
                </c:pt>
                <c:pt idx="3">
                  <c:v>6.03</c:v>
                </c:pt>
                <c:pt idx="4">
                  <c:v>7.12</c:v>
                </c:pt>
                <c:pt idx="5">
                  <c:v>7.2</c:v>
                </c:pt>
                <c:pt idx="6">
                  <c:v>8</c:v>
                </c:pt>
                <c:pt idx="7">
                  <c:v>8.9</c:v>
                </c:pt>
                <c:pt idx="8">
                  <c:v>9.0500000000000007</c:v>
                </c:pt>
                <c:pt idx="9">
                  <c:v>9.74</c:v>
                </c:pt>
                <c:pt idx="10">
                  <c:v>10.31</c:v>
                </c:pt>
                <c:pt idx="11">
                  <c:v>11.08</c:v>
                </c:pt>
                <c:pt idx="12">
                  <c:v>12.07</c:v>
                </c:pt>
              </c:numCache>
            </c:numRef>
          </c:xVal>
          <c:yVal>
            <c:numRef>
              <c:f>'zeta KK16'!$N$6:$N$18</c:f>
              <c:numCache>
                <c:formatCode>0.00</c:formatCode>
                <c:ptCount val="13"/>
                <c:pt idx="0">
                  <c:v>-17.133333333333329</c:v>
                </c:pt>
                <c:pt idx="1">
                  <c:v>-20.566666666666666</c:v>
                </c:pt>
                <c:pt idx="2">
                  <c:v>-19.933333333333334</c:v>
                </c:pt>
                <c:pt idx="3">
                  <c:v>-21.7</c:v>
                </c:pt>
                <c:pt idx="4">
                  <c:v>-24.766666666666669</c:v>
                </c:pt>
                <c:pt idx="5">
                  <c:v>-27.966666666666669</c:v>
                </c:pt>
                <c:pt idx="6">
                  <c:v>-27.666666666666668</c:v>
                </c:pt>
                <c:pt idx="7">
                  <c:v>-28.633333333333336</c:v>
                </c:pt>
                <c:pt idx="8">
                  <c:v>-23.900000000000002</c:v>
                </c:pt>
                <c:pt idx="9">
                  <c:v>-27.2</c:v>
                </c:pt>
                <c:pt idx="10">
                  <c:v>-24.933333333333337</c:v>
                </c:pt>
                <c:pt idx="11">
                  <c:v>-26.766666666666666</c:v>
                </c:pt>
                <c:pt idx="12">
                  <c:v>-28.666666666666668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DD-40BB-9A76-0718E62B4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9855968"/>
        <c:axId val="729856448"/>
      </c:scatterChart>
      <c:valAx>
        <c:axId val="72985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29856448"/>
        <c:crosses val="autoZero"/>
        <c:crossBetween val="midCat"/>
      </c:valAx>
      <c:valAx>
        <c:axId val="72985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potencjał zeta [mV]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2985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161925</xdr:colOff>
      <xdr:row>16</xdr:row>
      <xdr:rowOff>80010</xdr:rowOff>
    </xdr:from>
    <xdr:to>
      <xdr:col>21</xdr:col>
      <xdr:colOff>466725</xdr:colOff>
      <xdr:row>31</xdr:row>
      <xdr:rowOff>80010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DE17464-5D47-D7FD-2798-0AC952202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219075</xdr:colOff>
      <xdr:row>6</xdr:row>
      <xdr:rowOff>9525</xdr:rowOff>
    </xdr:from>
    <xdr:to>
      <xdr:col>23</xdr:col>
      <xdr:colOff>523875</xdr:colOff>
      <xdr:row>21</xdr:row>
      <xdr:rowOff>9525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1EF1344-C5BA-452B-B407-B0BB88B1C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533400</xdr:colOff>
      <xdr:row>4</xdr:row>
      <xdr:rowOff>0</xdr:rowOff>
    </xdr:from>
    <xdr:to>
      <xdr:col>23</xdr:col>
      <xdr:colOff>228600</xdr:colOff>
      <xdr:row>18</xdr:row>
      <xdr:rowOff>47625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A490F55-AC5E-4DA8-9D13-B89FA85E64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600075</xdr:colOff>
      <xdr:row>30</xdr:row>
      <xdr:rowOff>85725</xdr:rowOff>
    </xdr:from>
    <xdr:to>
      <xdr:col>23</xdr:col>
      <xdr:colOff>295275</xdr:colOff>
      <xdr:row>44</xdr:row>
      <xdr:rowOff>133350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BD3F9E7F-2563-4169-B933-EF43697A7379}"/>
            </a:ext>
            <a:ext uri="{147F2762-F138-4A5C-976F-8EAC2B608ADB}">
              <a16:predDERef xmlns:a16="http://schemas.microsoft.com/office/drawing/2014/main" pred="{3A490F55-AC5E-4DA8-9D13-B89FA85E64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19050</xdr:colOff>
      <xdr:row>66</xdr:row>
      <xdr:rowOff>95250</xdr:rowOff>
    </xdr:from>
    <xdr:to>
      <xdr:col>23</xdr:col>
      <xdr:colOff>323850</xdr:colOff>
      <xdr:row>80</xdr:row>
      <xdr:rowOff>142875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B97112DA-285E-4F10-8789-1E4FD9C6A7A3}"/>
            </a:ext>
            <a:ext uri="{147F2762-F138-4A5C-976F-8EAC2B608ADB}">
              <a16:predDERef xmlns:a16="http://schemas.microsoft.com/office/drawing/2014/main" pred="{BD3F9E7F-2563-4169-B933-EF43697A73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342900</xdr:colOff>
      <xdr:row>30</xdr:row>
      <xdr:rowOff>85725</xdr:rowOff>
    </xdr:from>
    <xdr:to>
      <xdr:col>34</xdr:col>
      <xdr:colOff>38100</xdr:colOff>
      <xdr:row>44</xdr:row>
      <xdr:rowOff>133350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DF65137D-753B-4DF3-A070-6C23A9E25E94}"/>
            </a:ext>
            <a:ext uri="{147F2762-F138-4A5C-976F-8EAC2B608ADB}">
              <a16:predDERef xmlns:a16="http://schemas.microsoft.com/office/drawing/2014/main" pred="{B97112DA-285E-4F10-8789-1E4FD9C6A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28575</xdr:colOff>
      <xdr:row>6</xdr:row>
      <xdr:rowOff>133350</xdr:rowOff>
    </xdr:from>
    <xdr:to>
      <xdr:col>24</xdr:col>
      <xdr:colOff>333375</xdr:colOff>
      <xdr:row>21</xdr:row>
      <xdr:rowOff>133350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9FED4FC-3BA7-4B77-BEF7-64B3625DD9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18" sqref="E18"/>
    </sheetView>
  </sheetViews>
  <sheetFormatPr defaultRowHeight="14.25"/>
  <sheetData>
    <row r="1" spans="1:5">
      <c r="A1" t="s">
        <v>0</v>
      </c>
    </row>
    <row r="2" spans="1:5">
      <c r="C2" s="15" t="s">
        <v>1</v>
      </c>
      <c r="D2" s="15"/>
      <c r="E2" s="15"/>
    </row>
    <row r="3" spans="1:5">
      <c r="B3" s="1"/>
      <c r="C3" s="1">
        <v>1</v>
      </c>
      <c r="D3" s="1">
        <v>2</v>
      </c>
      <c r="E3" s="1">
        <v>3</v>
      </c>
    </row>
    <row r="4" spans="1:5">
      <c r="B4" s="1" t="s">
        <v>2</v>
      </c>
      <c r="C4" s="1">
        <v>168</v>
      </c>
      <c r="D4" s="1">
        <v>170</v>
      </c>
      <c r="E4" s="1">
        <v>186</v>
      </c>
    </row>
    <row r="5" spans="1:5">
      <c r="B5" s="1" t="s">
        <v>3</v>
      </c>
      <c r="C5" s="1">
        <v>318</v>
      </c>
      <c r="D5" s="1">
        <v>295</v>
      </c>
      <c r="E5" s="1">
        <v>334</v>
      </c>
    </row>
    <row r="6" spans="1:5">
      <c r="B6" s="1" t="s">
        <v>4</v>
      </c>
      <c r="C6" s="1">
        <v>587</v>
      </c>
      <c r="D6" s="1">
        <v>529</v>
      </c>
      <c r="E6" s="1">
        <v>615</v>
      </c>
    </row>
    <row r="9" spans="1:5">
      <c r="A9" s="2" t="s">
        <v>5</v>
      </c>
    </row>
    <row r="10" spans="1:5">
      <c r="A10" s="2" t="s">
        <v>6</v>
      </c>
    </row>
    <row r="11" spans="1:5">
      <c r="A11" s="2" t="s">
        <v>7</v>
      </c>
    </row>
  </sheetData>
  <mergeCells count="1">
    <mergeCell ref="C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workbookViewId="0">
      <selection activeCell="I39" sqref="I39"/>
    </sheetView>
  </sheetViews>
  <sheetFormatPr defaultRowHeight="14.25"/>
  <cols>
    <col min="3" max="3" width="23" customWidth="1"/>
    <col min="4" max="4" width="7.75" customWidth="1"/>
    <col min="5" max="5" width="7.125" customWidth="1"/>
    <col min="8" max="8" width="13.25" customWidth="1"/>
    <col min="9" max="10" width="8.875"/>
  </cols>
  <sheetData>
    <row r="1" spans="1:1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15">
      <c r="A2" t="s">
        <v>16</v>
      </c>
      <c r="C2" t="s">
        <v>16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</row>
    <row r="3" spans="1:15">
      <c r="A3">
        <v>5</v>
      </c>
      <c r="B3" t="s">
        <v>23</v>
      </c>
      <c r="C3" t="s">
        <v>24</v>
      </c>
      <c r="D3" t="s">
        <v>25</v>
      </c>
      <c r="E3">
        <v>25</v>
      </c>
      <c r="F3">
        <v>12.9</v>
      </c>
      <c r="G3">
        <v>1.014</v>
      </c>
      <c r="H3">
        <v>9.5699999999999993E-2</v>
      </c>
      <c r="M3" t="s">
        <v>26</v>
      </c>
      <c r="N3" t="s">
        <v>27</v>
      </c>
      <c r="O3" t="s">
        <v>22</v>
      </c>
    </row>
    <row r="4" spans="1:15">
      <c r="A4">
        <v>6</v>
      </c>
      <c r="B4" t="s">
        <v>23</v>
      </c>
      <c r="C4" t="s">
        <v>28</v>
      </c>
      <c r="D4" t="s">
        <v>29</v>
      </c>
      <c r="E4">
        <v>25</v>
      </c>
      <c r="F4">
        <v>13.2</v>
      </c>
      <c r="G4">
        <v>1.0369999999999999</v>
      </c>
      <c r="H4">
        <v>9.64E-2</v>
      </c>
    </row>
    <row r="5" spans="1:15">
      <c r="A5">
        <v>7</v>
      </c>
      <c r="B5" t="s">
        <v>23</v>
      </c>
      <c r="C5" t="s">
        <v>30</v>
      </c>
      <c r="D5" t="s">
        <v>31</v>
      </c>
      <c r="E5">
        <v>25</v>
      </c>
      <c r="F5">
        <v>12.5</v>
      </c>
      <c r="G5">
        <v>0.98209999999999997</v>
      </c>
      <c r="H5">
        <v>9.6799999999999997E-2</v>
      </c>
      <c r="I5" s="4">
        <f>AVERAGE(F3:F5)</f>
        <v>12.866666666666667</v>
      </c>
      <c r="J5" s="4">
        <f>STDEV(F3:F5)</f>
        <v>0.35118845842842428</v>
      </c>
      <c r="M5">
        <v>3.77</v>
      </c>
      <c r="N5" s="3">
        <v>21.866666666666699</v>
      </c>
      <c r="O5" s="5">
        <v>0.77674534651540306</v>
      </c>
    </row>
    <row r="6" spans="1:15">
      <c r="A6">
        <v>11</v>
      </c>
      <c r="B6" t="s">
        <v>23</v>
      </c>
      <c r="C6" t="s">
        <v>32</v>
      </c>
      <c r="D6" t="s">
        <v>33</v>
      </c>
      <c r="E6">
        <v>25</v>
      </c>
      <c r="F6">
        <v>-19.8</v>
      </c>
      <c r="G6">
        <v>-1.552</v>
      </c>
      <c r="H6">
        <v>0.105</v>
      </c>
      <c r="M6">
        <v>4.6500000000000004</v>
      </c>
      <c r="N6" s="3">
        <v>21.533333333333331</v>
      </c>
      <c r="O6" s="5">
        <v>0.45092497528228875</v>
      </c>
    </row>
    <row r="7" spans="1:15">
      <c r="A7">
        <v>12</v>
      </c>
      <c r="B7" t="s">
        <v>23</v>
      </c>
      <c r="C7" t="s">
        <v>34</v>
      </c>
      <c r="D7" t="s">
        <v>35</v>
      </c>
      <c r="E7">
        <v>25</v>
      </c>
      <c r="F7">
        <v>-21.1</v>
      </c>
      <c r="G7">
        <v>-1.655</v>
      </c>
      <c r="H7">
        <v>0.106</v>
      </c>
      <c r="M7">
        <v>5.88</v>
      </c>
      <c r="N7" s="3">
        <v>17.733333333333334</v>
      </c>
      <c r="O7" s="5">
        <v>1.0785793124908956</v>
      </c>
    </row>
    <row r="8" spans="1:15">
      <c r="A8">
        <v>13</v>
      </c>
      <c r="B8" t="s">
        <v>23</v>
      </c>
      <c r="C8" t="s">
        <v>36</v>
      </c>
      <c r="D8" t="s">
        <v>37</v>
      </c>
      <c r="E8">
        <v>25</v>
      </c>
      <c r="F8">
        <v>-20.399999999999999</v>
      </c>
      <c r="G8">
        <v>-1.599</v>
      </c>
      <c r="H8">
        <v>0.106</v>
      </c>
      <c r="I8" s="4">
        <f>AVERAGE(F6:F8)</f>
        <v>-20.433333333333334</v>
      </c>
      <c r="J8" s="4">
        <f>STDEV(F6:F8)</f>
        <v>0.65064070986477152</v>
      </c>
      <c r="M8">
        <v>6.55</v>
      </c>
      <c r="N8" s="3">
        <v>12.866666666666667</v>
      </c>
      <c r="O8" s="5">
        <v>0.35118845842842428</v>
      </c>
    </row>
    <row r="9" spans="1:15">
      <c r="A9">
        <v>14</v>
      </c>
      <c r="B9" t="s">
        <v>23</v>
      </c>
      <c r="C9" t="s">
        <v>38</v>
      </c>
      <c r="D9" t="s">
        <v>39</v>
      </c>
      <c r="E9">
        <v>25</v>
      </c>
      <c r="F9">
        <v>-23.2</v>
      </c>
      <c r="G9">
        <v>-1.8220000000000001</v>
      </c>
      <c r="H9">
        <v>0.108</v>
      </c>
      <c r="M9">
        <v>6.82</v>
      </c>
      <c r="N9" s="3">
        <v>4.5066666666666668</v>
      </c>
      <c r="O9" s="5">
        <v>2.9012123902488316</v>
      </c>
    </row>
    <row r="10" spans="1:15">
      <c r="A10">
        <v>15</v>
      </c>
      <c r="B10" t="s">
        <v>23</v>
      </c>
      <c r="C10" t="s">
        <v>40</v>
      </c>
      <c r="D10" t="s">
        <v>41</v>
      </c>
      <c r="E10">
        <v>25</v>
      </c>
      <c r="F10">
        <v>-24.7</v>
      </c>
      <c r="G10">
        <v>-1.9330000000000001</v>
      </c>
      <c r="H10">
        <v>0.109</v>
      </c>
      <c r="M10">
        <v>7.21</v>
      </c>
      <c r="N10" s="3">
        <v>-20.433333333333334</v>
      </c>
      <c r="O10" s="5">
        <v>0.65064070986477152</v>
      </c>
    </row>
    <row r="11" spans="1:15">
      <c r="A11">
        <v>16</v>
      </c>
      <c r="B11" t="s">
        <v>23</v>
      </c>
      <c r="C11" t="s">
        <v>42</v>
      </c>
      <c r="D11" t="s">
        <v>43</v>
      </c>
      <c r="E11">
        <v>25</v>
      </c>
      <c r="F11">
        <v>-23.7</v>
      </c>
      <c r="G11">
        <v>-1.8580000000000001</v>
      </c>
      <c r="H11">
        <v>0.109</v>
      </c>
      <c r="I11" s="4">
        <f>AVERAGE(F9:F11)</f>
        <v>-23.866666666666664</v>
      </c>
      <c r="J11" s="4">
        <f>STDEV(F9:F11)</f>
        <v>0.76376261582597338</v>
      </c>
      <c r="M11">
        <v>8.3699999999999992</v>
      </c>
      <c r="N11" s="3">
        <v>-23.866666666666664</v>
      </c>
      <c r="O11" s="5">
        <v>0.76376261582597338</v>
      </c>
    </row>
    <row r="12" spans="1:15">
      <c r="A12">
        <v>17</v>
      </c>
      <c r="B12" t="s">
        <v>23</v>
      </c>
      <c r="C12" t="s">
        <v>44</v>
      </c>
      <c r="D12" t="s">
        <v>45</v>
      </c>
      <c r="E12">
        <v>25</v>
      </c>
      <c r="F12">
        <v>-26.9</v>
      </c>
      <c r="G12">
        <v>-2.1080000000000001</v>
      </c>
      <c r="H12">
        <v>0.11700000000000001</v>
      </c>
      <c r="M12">
        <v>9.49</v>
      </c>
      <c r="N12" s="3">
        <v>-28.066666666666663</v>
      </c>
      <c r="O12" s="5">
        <v>1.1503622617824936</v>
      </c>
    </row>
    <row r="13" spans="1:15">
      <c r="A13">
        <v>18</v>
      </c>
      <c r="B13" t="s">
        <v>23</v>
      </c>
      <c r="C13" t="s">
        <v>46</v>
      </c>
      <c r="D13" t="s">
        <v>47</v>
      </c>
      <c r="E13">
        <v>25</v>
      </c>
      <c r="F13">
        <v>-29.2</v>
      </c>
      <c r="G13">
        <v>-2.2919999999999998</v>
      </c>
      <c r="H13">
        <v>0.122</v>
      </c>
      <c r="M13">
        <v>10.31</v>
      </c>
      <c r="N13" s="3">
        <v>-29.133333333333336</v>
      </c>
      <c r="O13" s="5">
        <v>1.0408329997330665</v>
      </c>
    </row>
    <row r="14" spans="1:15">
      <c r="A14">
        <v>19</v>
      </c>
      <c r="B14" t="s">
        <v>23</v>
      </c>
      <c r="C14" t="s">
        <v>48</v>
      </c>
      <c r="D14" t="s">
        <v>49</v>
      </c>
      <c r="E14">
        <v>25</v>
      </c>
      <c r="F14">
        <v>-28.1</v>
      </c>
      <c r="G14">
        <v>-2.2029999999999998</v>
      </c>
      <c r="H14">
        <v>0.11899999999999999</v>
      </c>
      <c r="I14" s="4">
        <f>AVERAGE(F12:F14)</f>
        <v>-28.066666666666663</v>
      </c>
      <c r="J14" s="4">
        <f>STDEV(F12:F14)</f>
        <v>1.1503622617824936</v>
      </c>
      <c r="M14">
        <v>11.4</v>
      </c>
      <c r="N14" s="3">
        <v>-36.266666666666666</v>
      </c>
      <c r="O14" s="5">
        <v>2.550163393458019</v>
      </c>
    </row>
    <row r="15" spans="1:15">
      <c r="A15">
        <v>20</v>
      </c>
      <c r="B15" t="s">
        <v>23</v>
      </c>
      <c r="C15" t="s">
        <v>50</v>
      </c>
      <c r="D15" t="s">
        <v>51</v>
      </c>
      <c r="E15">
        <v>25</v>
      </c>
      <c r="F15">
        <v>-28.3</v>
      </c>
      <c r="G15">
        <v>-2.2200000000000002</v>
      </c>
      <c r="H15">
        <v>0.16300000000000001</v>
      </c>
    </row>
    <row r="16" spans="1:15">
      <c r="A16">
        <v>21</v>
      </c>
      <c r="B16" t="s">
        <v>23</v>
      </c>
      <c r="C16" t="s">
        <v>52</v>
      </c>
      <c r="D16" t="s">
        <v>53</v>
      </c>
      <c r="E16">
        <v>25</v>
      </c>
      <c r="F16">
        <v>-28.8</v>
      </c>
      <c r="G16">
        <v>-2.2610000000000001</v>
      </c>
      <c r="H16">
        <v>0.16500000000000001</v>
      </c>
    </row>
    <row r="17" spans="1:10">
      <c r="A17">
        <v>22</v>
      </c>
      <c r="B17" t="s">
        <v>23</v>
      </c>
      <c r="C17" t="s">
        <v>54</v>
      </c>
      <c r="D17" t="s">
        <v>55</v>
      </c>
      <c r="E17">
        <v>25</v>
      </c>
      <c r="F17">
        <v>-30.3</v>
      </c>
      <c r="G17">
        <v>-2.3740000000000001</v>
      </c>
      <c r="H17">
        <v>0.16600000000000001</v>
      </c>
      <c r="I17" s="4">
        <f>AVERAGE(F15:F17)</f>
        <v>-29.133333333333336</v>
      </c>
      <c r="J17" s="4">
        <f>STDEV(F15:F17)</f>
        <v>1.0408329997330665</v>
      </c>
    </row>
    <row r="18" spans="1:10">
      <c r="A18">
        <v>23</v>
      </c>
      <c r="B18" t="s">
        <v>23</v>
      </c>
      <c r="C18" t="s">
        <v>56</v>
      </c>
      <c r="D18" t="s">
        <v>57</v>
      </c>
      <c r="E18">
        <v>25</v>
      </c>
      <c r="F18">
        <v>-33.700000000000003</v>
      </c>
      <c r="G18">
        <v>-2.6379999999999999</v>
      </c>
      <c r="H18">
        <v>0.69399999999999995</v>
      </c>
    </row>
    <row r="19" spans="1:10">
      <c r="A19">
        <v>24</v>
      </c>
      <c r="B19" t="s">
        <v>23</v>
      </c>
      <c r="C19" t="s">
        <v>58</v>
      </c>
      <c r="D19" t="s">
        <v>59</v>
      </c>
      <c r="E19">
        <v>25</v>
      </c>
      <c r="F19">
        <v>-36.299999999999997</v>
      </c>
      <c r="G19">
        <v>-2.847</v>
      </c>
      <c r="H19">
        <v>0.72</v>
      </c>
    </row>
    <row r="20" spans="1:10">
      <c r="A20">
        <v>25</v>
      </c>
      <c r="B20" t="s">
        <v>23</v>
      </c>
      <c r="C20" t="s">
        <v>60</v>
      </c>
      <c r="D20" t="s">
        <v>61</v>
      </c>
      <c r="E20">
        <v>25</v>
      </c>
      <c r="F20">
        <v>-38.799999999999997</v>
      </c>
      <c r="G20">
        <v>-3.04</v>
      </c>
      <c r="H20">
        <v>0.73599999999999999</v>
      </c>
      <c r="I20" s="4">
        <f>AVERAGE(F18:F20)</f>
        <v>-36.266666666666666</v>
      </c>
      <c r="J20" s="4">
        <f>STDEV(F18:F20)</f>
        <v>2.550163393458019</v>
      </c>
    </row>
    <row r="21" spans="1:10">
      <c r="A21">
        <v>26</v>
      </c>
      <c r="B21" t="s">
        <v>23</v>
      </c>
      <c r="C21" t="s">
        <v>62</v>
      </c>
      <c r="D21" t="s">
        <v>63</v>
      </c>
      <c r="E21">
        <v>25</v>
      </c>
      <c r="F21">
        <v>6.31</v>
      </c>
      <c r="G21">
        <v>0.49440000000000001</v>
      </c>
      <c r="H21">
        <v>9.6699999999999994E-2</v>
      </c>
    </row>
    <row r="22" spans="1:10">
      <c r="A22">
        <v>27</v>
      </c>
      <c r="B22" t="s">
        <v>23</v>
      </c>
      <c r="C22" t="s">
        <v>64</v>
      </c>
      <c r="D22" t="s">
        <v>65</v>
      </c>
      <c r="E22">
        <v>25</v>
      </c>
      <c r="F22">
        <v>6.05</v>
      </c>
      <c r="G22">
        <v>0.47410000000000002</v>
      </c>
      <c r="H22">
        <v>9.7500000000000003E-2</v>
      </c>
    </row>
    <row r="23" spans="1:10">
      <c r="A23">
        <v>28</v>
      </c>
      <c r="B23" t="s">
        <v>23</v>
      </c>
      <c r="C23" t="s">
        <v>66</v>
      </c>
      <c r="D23" t="s">
        <v>67</v>
      </c>
      <c r="E23">
        <v>25</v>
      </c>
      <c r="F23">
        <v>1.1599999999999999</v>
      </c>
      <c r="G23">
        <v>9.1310000000000002E-2</v>
      </c>
      <c r="H23">
        <v>9.8400000000000001E-2</v>
      </c>
      <c r="I23" s="4">
        <f>AVERAGE(F21:F23)</f>
        <v>4.5066666666666668</v>
      </c>
      <c r="J23" s="4">
        <f>STDEV(F21:F23)</f>
        <v>2.9012123902488316</v>
      </c>
    </row>
    <row r="24" spans="1:10">
      <c r="A24">
        <v>29</v>
      </c>
      <c r="B24" t="s">
        <v>23</v>
      </c>
      <c r="C24" t="s">
        <v>68</v>
      </c>
      <c r="D24" t="s">
        <v>69</v>
      </c>
      <c r="E24">
        <v>25</v>
      </c>
      <c r="F24">
        <v>18.5</v>
      </c>
      <c r="G24">
        <v>1.446</v>
      </c>
      <c r="H24">
        <v>9.74E-2</v>
      </c>
    </row>
    <row r="25" spans="1:10">
      <c r="A25">
        <v>30</v>
      </c>
      <c r="B25" t="s">
        <v>23</v>
      </c>
      <c r="C25" t="s">
        <v>70</v>
      </c>
      <c r="D25" t="s">
        <v>71</v>
      </c>
      <c r="E25">
        <v>25</v>
      </c>
      <c r="F25">
        <v>16.5</v>
      </c>
      <c r="G25">
        <v>1.29</v>
      </c>
      <c r="H25">
        <v>9.6799999999999997E-2</v>
      </c>
    </row>
    <row r="26" spans="1:10">
      <c r="A26">
        <v>31</v>
      </c>
      <c r="B26" t="s">
        <v>23</v>
      </c>
      <c r="C26" t="s">
        <v>72</v>
      </c>
      <c r="D26" t="s">
        <v>73</v>
      </c>
      <c r="E26">
        <v>25</v>
      </c>
      <c r="F26">
        <v>18.2</v>
      </c>
      <c r="G26">
        <v>1.4239999999999999</v>
      </c>
      <c r="H26">
        <v>9.7500000000000003E-2</v>
      </c>
      <c r="I26" s="4">
        <f>AVERAGE(F24:F26)</f>
        <v>17.733333333333334</v>
      </c>
      <c r="J26" s="4">
        <f>STDEV(F24:F26)</f>
        <v>1.0785793124908956</v>
      </c>
    </row>
    <row r="27" spans="1:10">
      <c r="A27">
        <v>32</v>
      </c>
      <c r="B27" t="s">
        <v>23</v>
      </c>
      <c r="C27" t="s">
        <v>74</v>
      </c>
      <c r="D27" t="s">
        <v>75</v>
      </c>
      <c r="E27">
        <v>25</v>
      </c>
      <c r="F27">
        <v>21.1</v>
      </c>
      <c r="G27">
        <v>1.657</v>
      </c>
      <c r="H27">
        <v>0.105</v>
      </c>
    </row>
    <row r="28" spans="1:10">
      <c r="A28">
        <v>33</v>
      </c>
      <c r="B28" t="s">
        <v>23</v>
      </c>
      <c r="C28" t="s">
        <v>76</v>
      </c>
      <c r="D28" t="s">
        <v>77</v>
      </c>
      <c r="E28">
        <v>25</v>
      </c>
      <c r="F28">
        <v>21.5</v>
      </c>
      <c r="G28">
        <v>1.6839999999999999</v>
      </c>
      <c r="H28">
        <v>0.106</v>
      </c>
    </row>
    <row r="29" spans="1:10">
      <c r="A29">
        <v>34</v>
      </c>
      <c r="B29" t="s">
        <v>23</v>
      </c>
      <c r="C29" t="s">
        <v>78</v>
      </c>
      <c r="D29" t="s">
        <v>79</v>
      </c>
      <c r="E29">
        <v>25</v>
      </c>
      <c r="F29">
        <v>22</v>
      </c>
      <c r="G29">
        <v>1.7210000000000001</v>
      </c>
      <c r="H29">
        <v>0.108</v>
      </c>
      <c r="I29" s="4">
        <f>AVERAGE(F27:F29)</f>
        <v>21.533333333333331</v>
      </c>
      <c r="J29" s="4">
        <f>STDEV(F27:F29)</f>
        <v>0.45092497528228875</v>
      </c>
    </row>
    <row r="30" spans="1:10">
      <c r="A30">
        <v>35</v>
      </c>
      <c r="B30" t="s">
        <v>23</v>
      </c>
      <c r="C30" t="s">
        <v>80</v>
      </c>
      <c r="D30" t="s">
        <v>81</v>
      </c>
      <c r="E30">
        <v>25</v>
      </c>
      <c r="F30">
        <v>21</v>
      </c>
      <c r="G30">
        <v>1.6479999999999999</v>
      </c>
      <c r="H30">
        <v>0.16500000000000001</v>
      </c>
    </row>
    <row r="31" spans="1:10">
      <c r="A31">
        <v>36</v>
      </c>
      <c r="B31" t="s">
        <v>23</v>
      </c>
      <c r="C31" t="s">
        <v>82</v>
      </c>
      <c r="D31" t="s">
        <v>83</v>
      </c>
      <c r="E31">
        <v>25</v>
      </c>
      <c r="F31">
        <v>22.1</v>
      </c>
      <c r="G31">
        <v>1.732</v>
      </c>
      <c r="H31">
        <v>0.16600000000000001</v>
      </c>
    </row>
    <row r="32" spans="1:10">
      <c r="A32">
        <v>37</v>
      </c>
      <c r="B32" t="s">
        <v>23</v>
      </c>
      <c r="C32" t="s">
        <v>84</v>
      </c>
      <c r="D32" t="s">
        <v>85</v>
      </c>
      <c r="E32">
        <v>25</v>
      </c>
      <c r="F32">
        <v>22.5</v>
      </c>
      <c r="G32">
        <v>1.7649999999999999</v>
      </c>
      <c r="H32">
        <v>0.16700000000000001</v>
      </c>
      <c r="I32" s="4">
        <f>AVERAGE(F30:F32)</f>
        <v>21.866666666666664</v>
      </c>
      <c r="J32" s="4">
        <f>STDEV(F30:F32)</f>
        <v>0.77674534651540306</v>
      </c>
    </row>
  </sheetData>
  <sortState ref="M5:O14">
    <sortCondition ref="M5:M14"/>
  </sortState>
  <pageMargins left="0.7" right="0.7" top="0.75" bottom="0.75" header="0.3" footer="0.3"/>
  <ignoredErrors>
    <ignoredError sqref="J5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workbookViewId="0">
      <selection activeCell="Q16" sqref="Q16"/>
    </sheetView>
  </sheetViews>
  <sheetFormatPr defaultRowHeight="14.25"/>
  <cols>
    <col min="3" max="3" width="15.375" customWidth="1"/>
  </cols>
  <sheetData>
    <row r="1" spans="1:1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15">
      <c r="A2" t="s">
        <v>16</v>
      </c>
      <c r="C2" t="s">
        <v>16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</row>
    <row r="3" spans="1:15">
      <c r="A3">
        <v>44</v>
      </c>
      <c r="B3" t="s">
        <v>23</v>
      </c>
      <c r="C3" t="s">
        <v>86</v>
      </c>
      <c r="D3" t="s">
        <v>87</v>
      </c>
      <c r="E3">
        <v>25</v>
      </c>
      <c r="F3">
        <v>-6.76</v>
      </c>
      <c r="G3">
        <v>-0.5302</v>
      </c>
      <c r="H3">
        <v>0.13900000000000001</v>
      </c>
    </row>
    <row r="4" spans="1:15">
      <c r="A4">
        <v>45</v>
      </c>
      <c r="B4" t="s">
        <v>23</v>
      </c>
      <c r="C4" t="s">
        <v>88</v>
      </c>
      <c r="D4" t="s">
        <v>89</v>
      </c>
      <c r="E4">
        <v>25</v>
      </c>
      <c r="F4">
        <v>-7</v>
      </c>
      <c r="G4">
        <v>-0.54900000000000004</v>
      </c>
      <c r="H4">
        <v>0.13900000000000001</v>
      </c>
    </row>
    <row r="5" spans="1:15">
      <c r="A5">
        <v>46</v>
      </c>
      <c r="B5" t="s">
        <v>23</v>
      </c>
      <c r="C5" t="s">
        <v>90</v>
      </c>
      <c r="D5" t="s">
        <v>91</v>
      </c>
      <c r="E5">
        <v>25</v>
      </c>
      <c r="F5">
        <v>-7.67</v>
      </c>
      <c r="G5">
        <v>-0.60099999999999998</v>
      </c>
      <c r="H5">
        <v>0.14000000000000001</v>
      </c>
      <c r="I5" s="4">
        <f>AVERAGE(F3:F5)</f>
        <v>-7.1433333333333335</v>
      </c>
      <c r="J5" s="4">
        <f>STDEV(F3:F5)</f>
        <v>0.47162838478333063</v>
      </c>
      <c r="M5" t="s">
        <v>26</v>
      </c>
      <c r="N5" t="s">
        <v>27</v>
      </c>
      <c r="O5" t="s">
        <v>22</v>
      </c>
    </row>
    <row r="6" spans="1:15">
      <c r="A6">
        <v>47</v>
      </c>
      <c r="B6" t="s">
        <v>23</v>
      </c>
      <c r="C6" t="s">
        <v>92</v>
      </c>
      <c r="D6" t="s">
        <v>93</v>
      </c>
      <c r="E6">
        <v>25</v>
      </c>
      <c r="F6">
        <v>-5.51</v>
      </c>
      <c r="G6">
        <v>-0.43159999999999998</v>
      </c>
      <c r="H6">
        <v>0.15</v>
      </c>
    </row>
    <row r="7" spans="1:15">
      <c r="A7">
        <v>48</v>
      </c>
      <c r="B7" t="s">
        <v>23</v>
      </c>
      <c r="C7" t="s">
        <v>94</v>
      </c>
      <c r="D7" t="s">
        <v>95</v>
      </c>
      <c r="E7">
        <v>25</v>
      </c>
      <c r="F7">
        <v>-5.64</v>
      </c>
      <c r="G7">
        <v>-0.44240000000000002</v>
      </c>
      <c r="H7">
        <v>0.154</v>
      </c>
      <c r="M7">
        <v>3.02</v>
      </c>
      <c r="N7" s="3">
        <f>I38</f>
        <v>-0.24443333333333331</v>
      </c>
      <c r="O7" s="5">
        <f>J38</f>
        <v>0.19602158894706811</v>
      </c>
    </row>
    <row r="8" spans="1:15">
      <c r="A8">
        <v>49</v>
      </c>
      <c r="B8" t="s">
        <v>23</v>
      </c>
      <c r="C8" t="s">
        <v>96</v>
      </c>
      <c r="D8" t="s">
        <v>97</v>
      </c>
      <c r="E8">
        <v>25</v>
      </c>
      <c r="F8">
        <v>-4.8899999999999997</v>
      </c>
      <c r="G8">
        <v>-0.38319999999999999</v>
      </c>
      <c r="H8">
        <v>0.153</v>
      </c>
      <c r="I8" s="4">
        <f>AVERAGE(F6:F8)</f>
        <v>-5.3466666666666667</v>
      </c>
      <c r="J8" s="4">
        <f>STDEV(F6:F8)</f>
        <v>0.4007908847932215</v>
      </c>
      <c r="M8">
        <v>3.69</v>
      </c>
      <c r="N8" s="3">
        <f>I35</f>
        <v>-2.1066666666666669</v>
      </c>
      <c r="O8" s="3">
        <f>J35</f>
        <v>0.11015141094572214</v>
      </c>
    </row>
    <row r="9" spans="1:15">
      <c r="A9">
        <v>53</v>
      </c>
      <c r="B9" t="s">
        <v>23</v>
      </c>
      <c r="C9" t="s">
        <v>98</v>
      </c>
      <c r="D9" t="s">
        <v>99</v>
      </c>
      <c r="E9">
        <v>25</v>
      </c>
      <c r="F9">
        <v>-4.87</v>
      </c>
      <c r="G9">
        <v>-0.38140000000000002</v>
      </c>
      <c r="H9">
        <v>0.156</v>
      </c>
      <c r="M9">
        <v>4.49</v>
      </c>
      <c r="N9" s="3">
        <f>I32</f>
        <v>-4.18</v>
      </c>
      <c r="O9" s="5">
        <f>J32</f>
        <v>0.15394804318340644</v>
      </c>
    </row>
    <row r="10" spans="1:15">
      <c r="A10">
        <v>54</v>
      </c>
      <c r="B10" t="s">
        <v>23</v>
      </c>
      <c r="C10" t="s">
        <v>100</v>
      </c>
      <c r="D10" t="s">
        <v>101</v>
      </c>
      <c r="E10">
        <v>25</v>
      </c>
      <c r="F10">
        <v>-5.33</v>
      </c>
      <c r="G10">
        <v>-0.41760000000000003</v>
      </c>
      <c r="H10">
        <v>0.158</v>
      </c>
      <c r="M10">
        <v>5.89</v>
      </c>
      <c r="N10" s="3">
        <f>I29</f>
        <v>-4.6766666666666667</v>
      </c>
      <c r="O10" s="5">
        <f>J29</f>
        <v>1.249333155460681</v>
      </c>
    </row>
    <row r="11" spans="1:15">
      <c r="A11">
        <v>55</v>
      </c>
      <c r="B11" t="s">
        <v>23</v>
      </c>
      <c r="C11" t="s">
        <v>102</v>
      </c>
      <c r="D11" t="s">
        <v>103</v>
      </c>
      <c r="E11">
        <v>25</v>
      </c>
      <c r="F11">
        <v>-5.34</v>
      </c>
      <c r="G11">
        <v>-0.41830000000000001</v>
      </c>
      <c r="H11">
        <v>0.16</v>
      </c>
      <c r="I11" s="4">
        <f>AVERAGE(F9:F11)</f>
        <v>-5.18</v>
      </c>
      <c r="J11" s="4">
        <f>STDEV(F9:F11)</f>
        <v>0.26851443164195093</v>
      </c>
      <c r="M11">
        <v>6.55</v>
      </c>
      <c r="N11" s="3">
        <f>I5</f>
        <v>-7.1433333333333335</v>
      </c>
      <c r="O11" s="5">
        <f>J5</f>
        <v>0.47162838478333063</v>
      </c>
    </row>
    <row r="12" spans="1:15">
      <c r="A12">
        <v>56</v>
      </c>
      <c r="B12" t="s">
        <v>23</v>
      </c>
      <c r="C12" t="s">
        <v>104</v>
      </c>
      <c r="D12" t="s">
        <v>105</v>
      </c>
      <c r="E12">
        <v>25</v>
      </c>
      <c r="F12">
        <v>-5.5</v>
      </c>
      <c r="G12">
        <v>-0.43120000000000003</v>
      </c>
      <c r="H12">
        <v>0.186</v>
      </c>
      <c r="M12">
        <v>6.83</v>
      </c>
      <c r="N12" s="3">
        <f>I26</f>
        <v>-2.5366666666666666</v>
      </c>
      <c r="O12" s="5">
        <f>J26</f>
        <v>0.2602562839459085</v>
      </c>
    </row>
    <row r="13" spans="1:15">
      <c r="A13">
        <v>57</v>
      </c>
      <c r="B13" t="s">
        <v>23</v>
      </c>
      <c r="C13" t="s">
        <v>106</v>
      </c>
      <c r="D13" t="s">
        <v>107</v>
      </c>
      <c r="E13">
        <v>25</v>
      </c>
      <c r="F13">
        <v>-5.41</v>
      </c>
      <c r="G13">
        <v>-0.42399999999999999</v>
      </c>
      <c r="H13">
        <v>0.188</v>
      </c>
      <c r="M13">
        <v>7.84</v>
      </c>
      <c r="N13" s="3">
        <f>I8</f>
        <v>-5.3466666666666667</v>
      </c>
      <c r="O13" s="5">
        <f>J8</f>
        <v>0.4007908847932215</v>
      </c>
    </row>
    <row r="14" spans="1:15">
      <c r="A14">
        <v>58</v>
      </c>
      <c r="B14" t="s">
        <v>23</v>
      </c>
      <c r="C14" t="s">
        <v>108</v>
      </c>
      <c r="D14" t="s">
        <v>109</v>
      </c>
      <c r="E14">
        <v>25</v>
      </c>
      <c r="F14">
        <v>-5.27</v>
      </c>
      <c r="G14">
        <v>-0.41289999999999999</v>
      </c>
      <c r="H14">
        <v>0.189</v>
      </c>
      <c r="I14" s="4">
        <f>AVERAGE(F12:F14)</f>
        <v>-5.3933333333333335</v>
      </c>
      <c r="J14" s="4">
        <f>STDEV(F12:F14)</f>
        <v>0.11590225767142497</v>
      </c>
      <c r="M14">
        <v>9.0299999999999994</v>
      </c>
      <c r="N14" s="3">
        <f>I11</f>
        <v>-5.18</v>
      </c>
      <c r="O14" s="5">
        <f>J11</f>
        <v>0.26851443164195093</v>
      </c>
    </row>
    <row r="15" spans="1:15">
      <c r="A15">
        <v>59</v>
      </c>
      <c r="B15" t="s">
        <v>23</v>
      </c>
      <c r="C15" t="s">
        <v>110</v>
      </c>
      <c r="D15" t="s">
        <v>111</v>
      </c>
      <c r="E15">
        <v>25</v>
      </c>
      <c r="F15">
        <v>-4.3600000000000003</v>
      </c>
      <c r="G15">
        <v>-0.34210000000000002</v>
      </c>
      <c r="H15">
        <v>0.40899999999999997</v>
      </c>
      <c r="M15">
        <v>10.1</v>
      </c>
      <c r="N15" s="3">
        <f>I14</f>
        <v>-5.3933333333333335</v>
      </c>
      <c r="O15" s="5">
        <f>J14</f>
        <v>0.11590225767142497</v>
      </c>
    </row>
    <row r="16" spans="1:15">
      <c r="A16">
        <v>60</v>
      </c>
      <c r="B16" t="s">
        <v>23</v>
      </c>
      <c r="C16" t="s">
        <v>112</v>
      </c>
      <c r="D16" t="s">
        <v>113</v>
      </c>
      <c r="E16">
        <v>25</v>
      </c>
      <c r="F16">
        <v>-4.21</v>
      </c>
      <c r="G16">
        <v>-0.33029999999999998</v>
      </c>
      <c r="H16">
        <v>0.41699999999999998</v>
      </c>
      <c r="M16">
        <v>11.06</v>
      </c>
      <c r="N16" s="3">
        <f>I17</f>
        <v>-4.2533333333333339</v>
      </c>
      <c r="O16" s="5">
        <f>J17</f>
        <v>9.2915732431775741E-2</v>
      </c>
    </row>
    <row r="17" spans="1:15">
      <c r="A17">
        <v>61</v>
      </c>
      <c r="B17" t="s">
        <v>23</v>
      </c>
      <c r="C17" t="s">
        <v>114</v>
      </c>
      <c r="D17" t="s">
        <v>115</v>
      </c>
      <c r="E17">
        <v>25</v>
      </c>
      <c r="F17">
        <v>-4.1900000000000004</v>
      </c>
      <c r="G17">
        <v>-0.32850000000000001</v>
      </c>
      <c r="H17">
        <v>0.42299999999999999</v>
      </c>
      <c r="I17" s="4">
        <f>AVERAGE(F15:F17)</f>
        <v>-4.2533333333333339</v>
      </c>
      <c r="J17" s="4">
        <f>STDEV(F15:F17)</f>
        <v>9.2915732431775741E-2</v>
      </c>
      <c r="M17">
        <v>12.03</v>
      </c>
      <c r="N17" s="3">
        <f>I20</f>
        <v>-6.7833333333333341</v>
      </c>
      <c r="O17" s="5">
        <f>J20</f>
        <v>0.46306946923040937</v>
      </c>
    </row>
    <row r="18" spans="1:15">
      <c r="A18">
        <v>62</v>
      </c>
      <c r="B18" t="s">
        <v>23</v>
      </c>
      <c r="C18" t="s">
        <v>116</v>
      </c>
      <c r="D18" t="s">
        <v>117</v>
      </c>
      <c r="E18">
        <v>25</v>
      </c>
      <c r="F18">
        <v>-6.44</v>
      </c>
      <c r="G18">
        <v>-0.50460000000000005</v>
      </c>
      <c r="H18">
        <v>3.04</v>
      </c>
      <c r="M18">
        <v>12.33</v>
      </c>
      <c r="N18" s="3">
        <f>I23</f>
        <v>-5.47</v>
      </c>
      <c r="O18" s="3">
        <f>J23</f>
        <v>0.12165525060596435</v>
      </c>
    </row>
    <row r="19" spans="1:15">
      <c r="A19">
        <v>63</v>
      </c>
      <c r="B19" t="s">
        <v>23</v>
      </c>
      <c r="C19" t="s">
        <v>118</v>
      </c>
      <c r="D19" t="s">
        <v>119</v>
      </c>
      <c r="E19">
        <v>25</v>
      </c>
      <c r="F19">
        <v>-7.31</v>
      </c>
      <c r="G19">
        <v>-0.57299999999999995</v>
      </c>
      <c r="H19">
        <v>3.46</v>
      </c>
    </row>
    <row r="20" spans="1:15">
      <c r="A20">
        <v>65</v>
      </c>
      <c r="B20" t="s">
        <v>23</v>
      </c>
      <c r="C20" t="s">
        <v>116</v>
      </c>
      <c r="D20" t="s">
        <v>120</v>
      </c>
      <c r="E20">
        <v>25</v>
      </c>
      <c r="F20">
        <v>-6.6</v>
      </c>
      <c r="G20">
        <v>-0.51770000000000005</v>
      </c>
      <c r="H20">
        <v>3.12</v>
      </c>
      <c r="I20" s="4">
        <f>AVERAGE(F18:F20)</f>
        <v>-6.7833333333333341</v>
      </c>
      <c r="J20" s="4">
        <f>STDEV(F18:F20)</f>
        <v>0.46306946923040937</v>
      </c>
    </row>
    <row r="21" spans="1:15">
      <c r="A21">
        <v>71</v>
      </c>
      <c r="B21" t="s">
        <v>23</v>
      </c>
      <c r="C21" t="s">
        <v>121</v>
      </c>
      <c r="D21" t="s">
        <v>122</v>
      </c>
      <c r="E21">
        <v>25</v>
      </c>
      <c r="F21">
        <v>-5.33</v>
      </c>
      <c r="G21">
        <v>-0.41770000000000002</v>
      </c>
      <c r="H21">
        <v>7.34</v>
      </c>
    </row>
    <row r="22" spans="1:15">
      <c r="A22">
        <v>72</v>
      </c>
      <c r="B22" t="s">
        <v>23</v>
      </c>
      <c r="C22" t="s">
        <v>123</v>
      </c>
      <c r="D22" t="s">
        <v>124</v>
      </c>
      <c r="E22">
        <v>25</v>
      </c>
      <c r="F22">
        <v>-5.55</v>
      </c>
      <c r="G22">
        <v>-0.43490000000000001</v>
      </c>
      <c r="H22">
        <v>7.95</v>
      </c>
    </row>
    <row r="23" spans="1:15">
      <c r="A23">
        <v>73</v>
      </c>
      <c r="B23" t="s">
        <v>23</v>
      </c>
      <c r="C23" t="s">
        <v>125</v>
      </c>
      <c r="D23" t="s">
        <v>126</v>
      </c>
      <c r="E23">
        <v>25</v>
      </c>
      <c r="F23">
        <v>-5.53</v>
      </c>
      <c r="G23">
        <v>-0.43369999999999997</v>
      </c>
      <c r="H23">
        <v>8.1</v>
      </c>
      <c r="I23" s="4">
        <f>AVERAGE(F21:F23)</f>
        <v>-5.47</v>
      </c>
      <c r="J23" s="4">
        <f>STDEV(F21:F23)</f>
        <v>0.12165525060596435</v>
      </c>
    </row>
    <row r="24" spans="1:15">
      <c r="A24">
        <v>74</v>
      </c>
      <c r="B24" t="s">
        <v>23</v>
      </c>
      <c r="C24" t="s">
        <v>127</v>
      </c>
      <c r="D24" t="s">
        <v>128</v>
      </c>
      <c r="E24">
        <v>25</v>
      </c>
      <c r="F24">
        <v>-2.79</v>
      </c>
      <c r="G24">
        <v>-0.219</v>
      </c>
      <c r="H24">
        <v>0.249</v>
      </c>
    </row>
    <row r="25" spans="1:15">
      <c r="A25">
        <v>75</v>
      </c>
      <c r="B25" t="s">
        <v>23</v>
      </c>
      <c r="C25" t="s">
        <v>129</v>
      </c>
      <c r="D25" t="s">
        <v>130</v>
      </c>
      <c r="E25">
        <v>25</v>
      </c>
      <c r="F25">
        <v>-2.5499999999999998</v>
      </c>
      <c r="G25">
        <v>-0.19989999999999999</v>
      </c>
      <c r="H25">
        <v>0.26</v>
      </c>
    </row>
    <row r="26" spans="1:15">
      <c r="A26">
        <v>76</v>
      </c>
      <c r="B26" t="s">
        <v>23</v>
      </c>
      <c r="C26" t="s">
        <v>131</v>
      </c>
      <c r="D26" t="s">
        <v>132</v>
      </c>
      <c r="E26">
        <v>25</v>
      </c>
      <c r="F26">
        <v>-2.27</v>
      </c>
      <c r="G26">
        <v>-0.1782</v>
      </c>
      <c r="H26">
        <v>0.26700000000000002</v>
      </c>
      <c r="I26" s="4">
        <f>AVERAGE(F24:F26)</f>
        <v>-2.5366666666666666</v>
      </c>
      <c r="J26" s="4">
        <f>STDEV(F24:F26)</f>
        <v>0.2602562839459085</v>
      </c>
    </row>
    <row r="27" spans="1:15">
      <c r="A27">
        <v>77</v>
      </c>
      <c r="B27" t="s">
        <v>23</v>
      </c>
      <c r="C27" t="s">
        <v>133</v>
      </c>
      <c r="D27" t="s">
        <v>134</v>
      </c>
      <c r="E27">
        <v>25</v>
      </c>
      <c r="F27">
        <v>-4.96</v>
      </c>
      <c r="G27">
        <v>-0.38890000000000002</v>
      </c>
      <c r="H27">
        <v>0.159</v>
      </c>
    </row>
    <row r="28" spans="1:15">
      <c r="A28">
        <v>78</v>
      </c>
      <c r="B28" t="s">
        <v>23</v>
      </c>
      <c r="C28" t="s">
        <v>135</v>
      </c>
      <c r="D28" t="s">
        <v>136</v>
      </c>
      <c r="E28">
        <v>25</v>
      </c>
      <c r="F28">
        <v>-5.76</v>
      </c>
      <c r="G28">
        <v>-0.45179999999999998</v>
      </c>
      <c r="H28">
        <v>0.161</v>
      </c>
    </row>
    <row r="29" spans="1:15">
      <c r="A29">
        <v>79</v>
      </c>
      <c r="B29" t="s">
        <v>23</v>
      </c>
      <c r="C29" t="s">
        <v>137</v>
      </c>
      <c r="D29" t="s">
        <v>138</v>
      </c>
      <c r="E29">
        <v>25</v>
      </c>
      <c r="F29">
        <v>-3.31</v>
      </c>
      <c r="G29">
        <v>-0.2596</v>
      </c>
      <c r="H29">
        <v>0.16300000000000001</v>
      </c>
      <c r="I29" s="4">
        <f>AVERAGE(F27:F29)</f>
        <v>-4.6766666666666667</v>
      </c>
      <c r="J29" s="4">
        <f>STDEV(F27:F29)</f>
        <v>1.249333155460681</v>
      </c>
    </row>
    <row r="30" spans="1:15">
      <c r="A30">
        <v>80</v>
      </c>
      <c r="B30" t="s">
        <v>23</v>
      </c>
      <c r="C30" t="s">
        <v>139</v>
      </c>
      <c r="D30" t="s">
        <v>140</v>
      </c>
      <c r="E30">
        <v>25</v>
      </c>
      <c r="F30">
        <v>-4.05</v>
      </c>
      <c r="G30">
        <v>-0.31769999999999998</v>
      </c>
      <c r="H30">
        <v>0.16500000000000001</v>
      </c>
    </row>
    <row r="31" spans="1:15">
      <c r="A31">
        <v>81</v>
      </c>
      <c r="B31" t="s">
        <v>23</v>
      </c>
      <c r="C31" t="s">
        <v>141</v>
      </c>
      <c r="D31" t="s">
        <v>142</v>
      </c>
      <c r="E31">
        <v>25</v>
      </c>
      <c r="F31">
        <v>-4.1399999999999997</v>
      </c>
      <c r="G31">
        <v>-0.32419999999999999</v>
      </c>
      <c r="H31">
        <v>0.16600000000000001</v>
      </c>
    </row>
    <row r="32" spans="1:15">
      <c r="A32">
        <v>82</v>
      </c>
      <c r="B32" t="s">
        <v>23</v>
      </c>
      <c r="C32" t="s">
        <v>143</v>
      </c>
      <c r="D32" t="s">
        <v>144</v>
      </c>
      <c r="E32">
        <v>25</v>
      </c>
      <c r="F32">
        <v>-4.3499999999999996</v>
      </c>
      <c r="G32">
        <v>-0.34129999999999999</v>
      </c>
      <c r="H32">
        <v>0.16700000000000001</v>
      </c>
      <c r="I32" s="4">
        <f>AVERAGE(F30:F32)</f>
        <v>-4.18</v>
      </c>
      <c r="J32" s="4">
        <f>STDEV(F30:F32)</f>
        <v>0.15394804318340644</v>
      </c>
    </row>
    <row r="33" spans="1:10">
      <c r="A33">
        <v>83</v>
      </c>
      <c r="B33" t="s">
        <v>23</v>
      </c>
      <c r="C33" t="s">
        <v>145</v>
      </c>
      <c r="D33" t="s">
        <v>146</v>
      </c>
      <c r="E33">
        <v>25</v>
      </c>
      <c r="F33">
        <v>-2.16</v>
      </c>
      <c r="G33">
        <v>-0.1691</v>
      </c>
      <c r="H33">
        <v>0.23400000000000001</v>
      </c>
    </row>
    <row r="34" spans="1:10">
      <c r="A34">
        <v>84</v>
      </c>
      <c r="B34" t="s">
        <v>23</v>
      </c>
      <c r="C34" t="s">
        <v>147</v>
      </c>
      <c r="D34" t="s">
        <v>148</v>
      </c>
      <c r="E34">
        <v>25</v>
      </c>
      <c r="F34">
        <v>-1.98</v>
      </c>
      <c r="G34">
        <v>-0.15490000000000001</v>
      </c>
      <c r="H34">
        <v>0.23499999999999999</v>
      </c>
    </row>
    <row r="35" spans="1:10">
      <c r="A35">
        <v>85</v>
      </c>
      <c r="B35" t="s">
        <v>23</v>
      </c>
      <c r="C35" t="s">
        <v>149</v>
      </c>
      <c r="D35" t="s">
        <v>150</v>
      </c>
      <c r="E35">
        <v>25</v>
      </c>
      <c r="F35">
        <v>-2.1800000000000002</v>
      </c>
      <c r="G35">
        <v>-0.17080000000000001</v>
      </c>
      <c r="H35">
        <v>0.23599999999999999</v>
      </c>
      <c r="I35" s="4">
        <f>AVERAGE(F33:F35)</f>
        <v>-2.1066666666666669</v>
      </c>
      <c r="J35" s="4">
        <f>STDEV(F33:F35)</f>
        <v>0.11015141094572214</v>
      </c>
    </row>
    <row r="36" spans="1:10">
      <c r="A36">
        <v>86</v>
      </c>
      <c r="B36" t="s">
        <v>23</v>
      </c>
      <c r="C36" t="s">
        <v>151</v>
      </c>
      <c r="D36" t="s">
        <v>152</v>
      </c>
      <c r="E36">
        <v>25</v>
      </c>
      <c r="F36">
        <v>-0.36599999999999999</v>
      </c>
      <c r="G36">
        <v>-2.869E-2</v>
      </c>
      <c r="H36">
        <v>0.56100000000000005</v>
      </c>
    </row>
    <row r="37" spans="1:10">
      <c r="A37">
        <v>87</v>
      </c>
      <c r="B37" t="s">
        <v>23</v>
      </c>
      <c r="C37" t="s">
        <v>153</v>
      </c>
      <c r="D37" t="s">
        <v>154</v>
      </c>
      <c r="E37">
        <v>25</v>
      </c>
      <c r="F37">
        <v>-1.83E-2</v>
      </c>
      <c r="G37">
        <v>-1.4369999999999999E-3</v>
      </c>
      <c r="H37">
        <v>0.57399999999999995</v>
      </c>
    </row>
    <row r="38" spans="1:10">
      <c r="A38">
        <v>88</v>
      </c>
      <c r="B38" t="s">
        <v>23</v>
      </c>
      <c r="C38" t="s">
        <v>155</v>
      </c>
      <c r="D38" t="s">
        <v>156</v>
      </c>
      <c r="E38">
        <v>25</v>
      </c>
      <c r="F38">
        <v>-0.34899999999999998</v>
      </c>
      <c r="G38">
        <v>-2.734E-2</v>
      </c>
      <c r="H38">
        <v>0.57899999999999996</v>
      </c>
      <c r="I38" s="4">
        <f>AVERAGE(F36:F38)</f>
        <v>-0.24443333333333331</v>
      </c>
      <c r="J38" s="4">
        <f>STDEV(F36:F38)</f>
        <v>0.19602158894706811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"/>
  <sheetViews>
    <sheetView topLeftCell="C29" workbookViewId="0">
      <selection activeCell="M34" sqref="M34:O46"/>
    </sheetView>
  </sheetViews>
  <sheetFormatPr defaultRowHeight="14.25"/>
  <cols>
    <col min="3" max="3" width="37.25" customWidth="1"/>
    <col min="4" max="4" width="28.625" bestFit="1" customWidth="1"/>
  </cols>
  <sheetData>
    <row r="1" spans="1:1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15">
      <c r="A2" t="s">
        <v>16</v>
      </c>
      <c r="C2" t="s">
        <v>16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</row>
    <row r="3" spans="1:15">
      <c r="A3" s="6">
        <v>89</v>
      </c>
      <c r="B3" s="7" t="s">
        <v>23</v>
      </c>
      <c r="C3" s="7" t="s">
        <v>157</v>
      </c>
      <c r="D3" s="7" t="s">
        <v>158</v>
      </c>
      <c r="E3" s="7">
        <v>25</v>
      </c>
      <c r="F3" s="7">
        <v>-19.899999999999999</v>
      </c>
      <c r="G3" s="7">
        <v>-1.5629999999999999</v>
      </c>
      <c r="H3" s="7">
        <v>0.13</v>
      </c>
      <c r="I3" s="7"/>
      <c r="J3" s="8"/>
    </row>
    <row r="4" spans="1:15">
      <c r="A4" s="9">
        <v>90</v>
      </c>
      <c r="B4" t="s">
        <v>23</v>
      </c>
      <c r="C4" t="s">
        <v>159</v>
      </c>
      <c r="D4" t="s">
        <v>160</v>
      </c>
      <c r="E4">
        <v>25</v>
      </c>
      <c r="F4">
        <v>-19.100000000000001</v>
      </c>
      <c r="G4">
        <v>-1.4990000000000001</v>
      </c>
      <c r="H4">
        <v>0.13100000000000001</v>
      </c>
      <c r="J4" s="10"/>
      <c r="M4" t="s">
        <v>26</v>
      </c>
      <c r="N4" t="s">
        <v>27</v>
      </c>
      <c r="O4" t="s">
        <v>22</v>
      </c>
    </row>
    <row r="5" spans="1:15">
      <c r="A5" s="9">
        <v>91</v>
      </c>
      <c r="B5" t="s">
        <v>23</v>
      </c>
      <c r="C5" t="s">
        <v>161</v>
      </c>
      <c r="D5" t="s">
        <v>162</v>
      </c>
      <c r="E5">
        <v>25</v>
      </c>
      <c r="F5">
        <v>-19.600000000000001</v>
      </c>
      <c r="G5">
        <v>-1.5329999999999999</v>
      </c>
      <c r="H5">
        <v>0.13200000000000001</v>
      </c>
      <c r="I5" s="4">
        <f>AVERAGE(F3:F5)</f>
        <v>-19.533333333333335</v>
      </c>
      <c r="J5" s="11">
        <f>STDEV(F3:F5)</f>
        <v>0.40414518843273678</v>
      </c>
      <c r="M5">
        <v>6.66</v>
      </c>
      <c r="N5" s="3">
        <f>I5</f>
        <v>-19.533333333333335</v>
      </c>
      <c r="O5" s="3">
        <f>J5</f>
        <v>0.40414518843273678</v>
      </c>
    </row>
    <row r="6" spans="1:15">
      <c r="A6" s="9">
        <v>92</v>
      </c>
      <c r="B6" t="s">
        <v>23</v>
      </c>
      <c r="C6" t="s">
        <v>163</v>
      </c>
      <c r="D6" t="s">
        <v>164</v>
      </c>
      <c r="E6">
        <v>25</v>
      </c>
      <c r="F6">
        <v>-23</v>
      </c>
      <c r="G6">
        <v>-1.804</v>
      </c>
      <c r="H6">
        <v>0.14199999999999999</v>
      </c>
      <c r="J6" s="10"/>
      <c r="M6">
        <v>7.63</v>
      </c>
      <c r="N6" s="3">
        <f>I8</f>
        <v>-23.366666666666664</v>
      </c>
      <c r="O6" s="3">
        <f>J8</f>
        <v>0.35118845842842422</v>
      </c>
    </row>
    <row r="7" spans="1:15">
      <c r="A7" s="9">
        <v>93</v>
      </c>
      <c r="B7" t="s">
        <v>23</v>
      </c>
      <c r="C7" t="s">
        <v>165</v>
      </c>
      <c r="D7" t="s">
        <v>166</v>
      </c>
      <c r="E7">
        <v>25</v>
      </c>
      <c r="F7">
        <v>-23.7</v>
      </c>
      <c r="G7">
        <v>-1.86</v>
      </c>
      <c r="H7">
        <v>0.14299999999999999</v>
      </c>
      <c r="J7" s="10"/>
      <c r="M7">
        <v>9.36</v>
      </c>
      <c r="N7" s="3">
        <f>I11</f>
        <v>-22.166666666666668</v>
      </c>
      <c r="O7" s="3">
        <f>J11</f>
        <v>0.75055534994651341</v>
      </c>
    </row>
    <row r="8" spans="1:15">
      <c r="A8" s="9">
        <v>94</v>
      </c>
      <c r="B8" t="s">
        <v>23</v>
      </c>
      <c r="C8" t="s">
        <v>167</v>
      </c>
      <c r="D8" t="s">
        <v>168</v>
      </c>
      <c r="E8">
        <v>25</v>
      </c>
      <c r="F8">
        <v>-23.4</v>
      </c>
      <c r="G8">
        <v>-1.833</v>
      </c>
      <c r="H8">
        <v>0.14399999999999999</v>
      </c>
      <c r="I8" s="4">
        <f>AVERAGE(F6:F8)</f>
        <v>-23.366666666666664</v>
      </c>
      <c r="J8" s="11">
        <f>STDEV(F6:F8)</f>
        <v>0.35118845842842422</v>
      </c>
      <c r="M8">
        <v>10.11</v>
      </c>
      <c r="N8" s="3">
        <f>I14</f>
        <v>-17.466666666666669</v>
      </c>
      <c r="O8" s="3">
        <f>J14</f>
        <v>0.15275252316519489</v>
      </c>
    </row>
    <row r="9" spans="1:15">
      <c r="A9" s="9">
        <v>98</v>
      </c>
      <c r="B9" t="s">
        <v>23</v>
      </c>
      <c r="C9" t="s">
        <v>169</v>
      </c>
      <c r="D9" t="s">
        <v>170</v>
      </c>
      <c r="E9">
        <v>25</v>
      </c>
      <c r="F9">
        <v>-22.2</v>
      </c>
      <c r="G9">
        <v>-1.74</v>
      </c>
      <c r="H9">
        <v>0.15</v>
      </c>
      <c r="J9" s="10"/>
      <c r="M9">
        <v>8.24</v>
      </c>
      <c r="N9" s="3">
        <f>I17</f>
        <v>-22.5</v>
      </c>
      <c r="O9" s="3">
        <f>J17</f>
        <v>1.1999999999999993</v>
      </c>
    </row>
    <row r="10" spans="1:15">
      <c r="A10" s="9">
        <v>99</v>
      </c>
      <c r="B10" t="s">
        <v>23</v>
      </c>
      <c r="C10" t="s">
        <v>171</v>
      </c>
      <c r="D10" t="s">
        <v>172</v>
      </c>
      <c r="E10">
        <v>25</v>
      </c>
      <c r="F10">
        <v>-21.4</v>
      </c>
      <c r="G10">
        <v>-1.679</v>
      </c>
      <c r="H10">
        <v>0.152</v>
      </c>
      <c r="J10" s="10"/>
      <c r="M10">
        <v>6.88</v>
      </c>
      <c r="N10" s="3">
        <f>I20</f>
        <v>-18.399999999999999</v>
      </c>
      <c r="O10" s="3">
        <f>J20</f>
        <v>9.9999999999999645E-2</v>
      </c>
    </row>
    <row r="11" spans="1:15">
      <c r="A11" s="9">
        <v>100</v>
      </c>
      <c r="B11" t="s">
        <v>23</v>
      </c>
      <c r="C11" t="s">
        <v>173</v>
      </c>
      <c r="D11" t="s">
        <v>174</v>
      </c>
      <c r="E11">
        <v>25</v>
      </c>
      <c r="F11">
        <v>-22.9</v>
      </c>
      <c r="G11">
        <v>-1.7929999999999999</v>
      </c>
      <c r="H11">
        <v>0.153</v>
      </c>
      <c r="I11" s="4">
        <f>AVERAGE(F9:F11)</f>
        <v>-22.166666666666668</v>
      </c>
      <c r="J11" s="11">
        <f>STDEV(F9:F11)</f>
        <v>0.75055534994651341</v>
      </c>
      <c r="M11">
        <v>5.89</v>
      </c>
      <c r="N11" s="3">
        <f>I23</f>
        <v>-6.19</v>
      </c>
      <c r="O11" s="3">
        <f>J23</f>
        <v>0.24269322199023188</v>
      </c>
    </row>
    <row r="12" spans="1:15">
      <c r="A12" s="9">
        <v>104</v>
      </c>
      <c r="B12" t="s">
        <v>23</v>
      </c>
      <c r="C12" t="s">
        <v>175</v>
      </c>
      <c r="D12" t="s">
        <v>176</v>
      </c>
      <c r="E12">
        <v>25</v>
      </c>
      <c r="F12">
        <v>-17.5</v>
      </c>
      <c r="G12">
        <v>-1.3680000000000001</v>
      </c>
      <c r="H12">
        <v>0.17299999999999999</v>
      </c>
      <c r="J12" s="10"/>
      <c r="M12">
        <v>4.7699999999999996</v>
      </c>
      <c r="N12" s="3">
        <f>I26</f>
        <v>8.9333333333333336</v>
      </c>
      <c r="O12" s="3">
        <f>J26</f>
        <v>0.29022979401386989</v>
      </c>
    </row>
    <row r="13" spans="1:15">
      <c r="A13" s="9">
        <v>105</v>
      </c>
      <c r="B13" t="s">
        <v>23</v>
      </c>
      <c r="C13" t="s">
        <v>177</v>
      </c>
      <c r="D13" t="s">
        <v>178</v>
      </c>
      <c r="E13">
        <v>25</v>
      </c>
      <c r="F13">
        <v>-17.600000000000001</v>
      </c>
      <c r="G13">
        <v>-1.3759999999999999</v>
      </c>
      <c r="H13">
        <v>0.17499999999999999</v>
      </c>
      <c r="J13" s="10"/>
      <c r="M13">
        <v>3.77</v>
      </c>
      <c r="N13" s="3">
        <f>I29</f>
        <v>16.366666666666664</v>
      </c>
      <c r="O13" s="3">
        <f>J29</f>
        <v>0.76376261582597338</v>
      </c>
    </row>
    <row r="14" spans="1:15">
      <c r="A14" s="9">
        <v>106</v>
      </c>
      <c r="B14" t="s">
        <v>23</v>
      </c>
      <c r="C14" t="s">
        <v>179</v>
      </c>
      <c r="D14" t="s">
        <v>180</v>
      </c>
      <c r="E14">
        <v>25</v>
      </c>
      <c r="F14">
        <v>-17.3</v>
      </c>
      <c r="G14">
        <v>-1.355</v>
      </c>
      <c r="H14">
        <v>0.17599999999999999</v>
      </c>
      <c r="I14" s="4">
        <f>AVERAGE(F12:F14)</f>
        <v>-17.466666666666669</v>
      </c>
      <c r="J14" s="11">
        <f>STDEV(F12:F14)</f>
        <v>0.15275252316519489</v>
      </c>
      <c r="M14">
        <v>3.04</v>
      </c>
      <c r="N14" s="3">
        <f>I32</f>
        <v>24.733333333333331</v>
      </c>
      <c r="O14" s="3">
        <f>J32</f>
        <v>0.47258156262526152</v>
      </c>
    </row>
    <row r="15" spans="1:15">
      <c r="A15" s="9">
        <v>113</v>
      </c>
      <c r="B15" t="s">
        <v>23</v>
      </c>
      <c r="C15" t="s">
        <v>181</v>
      </c>
      <c r="D15" t="s">
        <v>182</v>
      </c>
      <c r="E15">
        <v>25</v>
      </c>
      <c r="F15">
        <v>-21.3</v>
      </c>
      <c r="G15">
        <v>-1.67</v>
      </c>
      <c r="H15">
        <v>1.74</v>
      </c>
      <c r="J15" s="10"/>
    </row>
    <row r="16" spans="1:15">
      <c r="A16" s="9">
        <v>114</v>
      </c>
      <c r="B16" t="s">
        <v>23</v>
      </c>
      <c r="C16" t="s">
        <v>183</v>
      </c>
      <c r="D16" t="s">
        <v>184</v>
      </c>
      <c r="E16">
        <v>25</v>
      </c>
      <c r="F16">
        <v>-22.5</v>
      </c>
      <c r="G16">
        <v>-1.766</v>
      </c>
      <c r="H16">
        <v>1.9</v>
      </c>
      <c r="J16" s="10"/>
    </row>
    <row r="17" spans="1:10">
      <c r="A17" s="9">
        <v>115</v>
      </c>
      <c r="B17" t="s">
        <v>23</v>
      </c>
      <c r="C17" t="s">
        <v>185</v>
      </c>
      <c r="D17" t="s">
        <v>186</v>
      </c>
      <c r="E17">
        <v>25</v>
      </c>
      <c r="F17">
        <v>-23.7</v>
      </c>
      <c r="G17">
        <v>-1.8540000000000001</v>
      </c>
      <c r="H17">
        <v>1.98</v>
      </c>
      <c r="I17" s="4">
        <f>AVERAGE(F15:F17)</f>
        <v>-22.5</v>
      </c>
      <c r="J17" s="11">
        <f>STDEV(F15:F17)</f>
        <v>1.1999999999999993</v>
      </c>
    </row>
    <row r="18" spans="1:10">
      <c r="A18" s="9">
        <v>116</v>
      </c>
      <c r="B18" t="s">
        <v>23</v>
      </c>
      <c r="C18" t="s">
        <v>187</v>
      </c>
      <c r="D18" t="s">
        <v>188</v>
      </c>
      <c r="E18">
        <v>25</v>
      </c>
      <c r="F18">
        <v>-18.5</v>
      </c>
      <c r="G18">
        <v>-1.4530000000000001</v>
      </c>
      <c r="H18">
        <v>0.159</v>
      </c>
      <c r="J18" s="10"/>
    </row>
    <row r="19" spans="1:10">
      <c r="A19" s="9">
        <v>117</v>
      </c>
      <c r="B19" t="s">
        <v>23</v>
      </c>
      <c r="C19" t="s">
        <v>189</v>
      </c>
      <c r="D19" t="s">
        <v>190</v>
      </c>
      <c r="E19">
        <v>25</v>
      </c>
      <c r="F19">
        <v>-18.3</v>
      </c>
      <c r="G19">
        <v>-1.4370000000000001</v>
      </c>
      <c r="H19">
        <v>0.16500000000000001</v>
      </c>
      <c r="J19" s="10"/>
    </row>
    <row r="20" spans="1:10">
      <c r="A20" s="9">
        <v>118</v>
      </c>
      <c r="B20" t="s">
        <v>23</v>
      </c>
      <c r="C20" t="s">
        <v>191</v>
      </c>
      <c r="D20" t="s">
        <v>192</v>
      </c>
      <c r="E20">
        <v>25</v>
      </c>
      <c r="F20">
        <v>-18.399999999999999</v>
      </c>
      <c r="G20">
        <v>-1.4390000000000001</v>
      </c>
      <c r="H20">
        <v>0.16400000000000001</v>
      </c>
      <c r="I20" s="4">
        <f>AVERAGE(F18:F20)</f>
        <v>-18.399999999999999</v>
      </c>
      <c r="J20" s="11">
        <f>STDEV(F18:F20)</f>
        <v>9.9999999999999645E-2</v>
      </c>
    </row>
    <row r="21" spans="1:10">
      <c r="A21" s="9">
        <v>119</v>
      </c>
      <c r="B21" t="s">
        <v>23</v>
      </c>
      <c r="C21" t="s">
        <v>193</v>
      </c>
      <c r="D21" t="s">
        <v>194</v>
      </c>
      <c r="E21">
        <v>25</v>
      </c>
      <c r="F21">
        <v>-5.91</v>
      </c>
      <c r="G21">
        <v>-0.46300000000000002</v>
      </c>
      <c r="H21">
        <v>0.15</v>
      </c>
      <c r="J21" s="10"/>
    </row>
    <row r="22" spans="1:10">
      <c r="A22" s="9">
        <v>120</v>
      </c>
      <c r="B22" t="s">
        <v>23</v>
      </c>
      <c r="C22" t="s">
        <v>195</v>
      </c>
      <c r="D22" t="s">
        <v>196</v>
      </c>
      <c r="E22">
        <v>25</v>
      </c>
      <c r="F22">
        <v>-6.34</v>
      </c>
      <c r="G22">
        <v>-0.49680000000000002</v>
      </c>
      <c r="H22">
        <v>0.152</v>
      </c>
      <c r="J22" s="10"/>
    </row>
    <row r="23" spans="1:10">
      <c r="A23" s="9">
        <v>121</v>
      </c>
      <c r="B23" t="s">
        <v>23</v>
      </c>
      <c r="C23" t="s">
        <v>197</v>
      </c>
      <c r="D23" t="s">
        <v>198</v>
      </c>
      <c r="E23">
        <v>25</v>
      </c>
      <c r="F23">
        <v>-6.32</v>
      </c>
      <c r="G23">
        <v>-0.495</v>
      </c>
      <c r="H23">
        <v>0.153</v>
      </c>
      <c r="I23" s="4">
        <f>AVERAGE(F21:F23)</f>
        <v>-6.19</v>
      </c>
      <c r="J23" s="11">
        <f>STDEV(F21:F23)</f>
        <v>0.24269322199023188</v>
      </c>
    </row>
    <row r="24" spans="1:10">
      <c r="A24" s="9">
        <v>122</v>
      </c>
      <c r="B24" t="s">
        <v>23</v>
      </c>
      <c r="C24" t="s">
        <v>199</v>
      </c>
      <c r="D24" t="s">
        <v>200</v>
      </c>
      <c r="E24">
        <v>25</v>
      </c>
      <c r="F24">
        <v>8.65</v>
      </c>
      <c r="G24">
        <v>0.67820000000000003</v>
      </c>
      <c r="H24">
        <v>0.153</v>
      </c>
      <c r="J24" s="10"/>
    </row>
    <row r="25" spans="1:10">
      <c r="A25" s="9">
        <v>123</v>
      </c>
      <c r="B25" t="s">
        <v>23</v>
      </c>
      <c r="C25" t="s">
        <v>201</v>
      </c>
      <c r="D25" t="s">
        <v>202</v>
      </c>
      <c r="E25">
        <v>25</v>
      </c>
      <c r="F25">
        <v>8.92</v>
      </c>
      <c r="G25">
        <v>0.69889999999999997</v>
      </c>
      <c r="H25">
        <v>0.155</v>
      </c>
      <c r="J25" s="10"/>
    </row>
    <row r="26" spans="1:10">
      <c r="A26" s="9">
        <v>124</v>
      </c>
      <c r="B26" t="s">
        <v>23</v>
      </c>
      <c r="C26" t="s">
        <v>203</v>
      </c>
      <c r="D26" t="s">
        <v>204</v>
      </c>
      <c r="E26">
        <v>25</v>
      </c>
      <c r="F26">
        <v>9.23</v>
      </c>
      <c r="G26">
        <v>0.72330000000000005</v>
      </c>
      <c r="H26">
        <v>0.156</v>
      </c>
      <c r="I26" s="4">
        <f>AVERAGE(F24:F26)</f>
        <v>8.9333333333333336</v>
      </c>
      <c r="J26" s="11">
        <f>STDEV(F24:F26)</f>
        <v>0.29022979401386989</v>
      </c>
    </row>
    <row r="27" spans="1:10">
      <c r="A27" s="9">
        <v>125</v>
      </c>
      <c r="B27" t="s">
        <v>23</v>
      </c>
      <c r="C27" t="s">
        <v>205</v>
      </c>
      <c r="D27" t="s">
        <v>206</v>
      </c>
      <c r="E27">
        <v>25</v>
      </c>
      <c r="F27">
        <v>17.2</v>
      </c>
      <c r="G27">
        <v>1.351</v>
      </c>
      <c r="H27">
        <v>0.222</v>
      </c>
      <c r="J27" s="10"/>
    </row>
    <row r="28" spans="1:10">
      <c r="A28" s="9">
        <v>126</v>
      </c>
      <c r="B28" t="s">
        <v>23</v>
      </c>
      <c r="C28" t="s">
        <v>207</v>
      </c>
      <c r="D28" t="s">
        <v>208</v>
      </c>
      <c r="E28">
        <v>25</v>
      </c>
      <c r="F28">
        <v>15.7</v>
      </c>
      <c r="G28">
        <v>1.23</v>
      </c>
      <c r="H28">
        <v>0.22500000000000001</v>
      </c>
      <c r="J28" s="10"/>
    </row>
    <row r="29" spans="1:10">
      <c r="A29" s="9">
        <v>127</v>
      </c>
      <c r="B29" t="s">
        <v>23</v>
      </c>
      <c r="C29" t="s">
        <v>209</v>
      </c>
      <c r="D29" t="s">
        <v>210</v>
      </c>
      <c r="E29">
        <v>25</v>
      </c>
      <c r="F29">
        <v>16.2</v>
      </c>
      <c r="G29">
        <v>1.2709999999999999</v>
      </c>
      <c r="H29">
        <v>0.22700000000000001</v>
      </c>
      <c r="I29" s="4">
        <f>AVERAGE(F27:F29)</f>
        <v>16.366666666666664</v>
      </c>
      <c r="J29" s="11">
        <f>STDEV(F27:F29)</f>
        <v>0.76376261582597338</v>
      </c>
    </row>
    <row r="30" spans="1:10">
      <c r="A30" s="9">
        <v>128</v>
      </c>
      <c r="B30" t="s">
        <v>23</v>
      </c>
      <c r="C30" t="s">
        <v>211</v>
      </c>
      <c r="D30" t="s">
        <v>212</v>
      </c>
      <c r="E30">
        <v>25</v>
      </c>
      <c r="F30">
        <v>24.2</v>
      </c>
      <c r="G30">
        <v>1.895</v>
      </c>
      <c r="H30">
        <v>0.54200000000000004</v>
      </c>
      <c r="J30" s="10"/>
    </row>
    <row r="31" spans="1:10">
      <c r="A31" s="9">
        <v>129</v>
      </c>
      <c r="B31" t="s">
        <v>23</v>
      </c>
      <c r="C31" t="s">
        <v>213</v>
      </c>
      <c r="D31" t="s">
        <v>214</v>
      </c>
      <c r="E31">
        <v>25</v>
      </c>
      <c r="F31">
        <v>24.9</v>
      </c>
      <c r="G31">
        <v>1.9530000000000001</v>
      </c>
      <c r="H31">
        <v>0.55400000000000005</v>
      </c>
      <c r="J31" s="10"/>
    </row>
    <row r="32" spans="1:10">
      <c r="A32" s="9">
        <v>130</v>
      </c>
      <c r="B32" t="s">
        <v>23</v>
      </c>
      <c r="C32" t="s">
        <v>215</v>
      </c>
      <c r="D32" t="s">
        <v>216</v>
      </c>
      <c r="E32">
        <v>25</v>
      </c>
      <c r="F32">
        <v>25.1</v>
      </c>
      <c r="G32">
        <v>1.97</v>
      </c>
      <c r="H32">
        <v>0.55900000000000005</v>
      </c>
      <c r="I32" s="4">
        <f>AVERAGE(F30:F32)</f>
        <v>24.733333333333331</v>
      </c>
      <c r="J32" s="11">
        <f>STDEV(F30:F32)</f>
        <v>0.47258156262526152</v>
      </c>
    </row>
    <row r="33" spans="1:15">
      <c r="A33" s="6">
        <v>131</v>
      </c>
      <c r="B33" s="7" t="s">
        <v>23</v>
      </c>
      <c r="C33" s="7" t="s">
        <v>217</v>
      </c>
      <c r="D33" s="7" t="s">
        <v>218</v>
      </c>
      <c r="E33" s="7">
        <v>25</v>
      </c>
      <c r="F33" s="7">
        <v>-21.6</v>
      </c>
      <c r="G33" s="7">
        <v>-1.6950000000000001</v>
      </c>
      <c r="H33" s="7">
        <v>0.14099999999999999</v>
      </c>
      <c r="I33" s="7"/>
      <c r="J33" s="8"/>
    </row>
    <row r="34" spans="1:15">
      <c r="A34" s="9">
        <v>132</v>
      </c>
      <c r="B34" t="s">
        <v>23</v>
      </c>
      <c r="C34" t="s">
        <v>219</v>
      </c>
      <c r="D34" t="s">
        <v>220</v>
      </c>
      <c r="E34">
        <v>25</v>
      </c>
      <c r="F34">
        <v>-21.3</v>
      </c>
      <c r="G34">
        <v>-1.673</v>
      </c>
      <c r="H34">
        <v>0.14399999999999999</v>
      </c>
      <c r="J34" s="10"/>
      <c r="M34" t="s">
        <v>26</v>
      </c>
      <c r="N34" t="s">
        <v>27</v>
      </c>
      <c r="O34" t="s">
        <v>22</v>
      </c>
    </row>
    <row r="35" spans="1:15">
      <c r="A35" s="9">
        <v>133</v>
      </c>
      <c r="B35" t="s">
        <v>23</v>
      </c>
      <c r="C35" t="s">
        <v>221</v>
      </c>
      <c r="D35" t="s">
        <v>222</v>
      </c>
      <c r="E35">
        <v>25</v>
      </c>
      <c r="F35">
        <v>-21.3</v>
      </c>
      <c r="G35">
        <v>-1.6679999999999999</v>
      </c>
      <c r="H35">
        <v>0.14399999999999999</v>
      </c>
      <c r="I35" s="4">
        <f>AVERAGE(F33:F35)</f>
        <v>-21.400000000000002</v>
      </c>
      <c r="J35" s="11">
        <f>STDEV(F33:F35)</f>
        <v>0.17320508075688815</v>
      </c>
      <c r="M35">
        <v>6.59</v>
      </c>
      <c r="N35" s="3">
        <f>I35</f>
        <v>-21.400000000000002</v>
      </c>
      <c r="O35" s="3">
        <f>J35</f>
        <v>0.17320508075688815</v>
      </c>
    </row>
    <row r="36" spans="1:15">
      <c r="A36" s="9">
        <v>134</v>
      </c>
      <c r="B36" t="s">
        <v>23</v>
      </c>
      <c r="C36" t="s">
        <v>223</v>
      </c>
      <c r="D36" t="s">
        <v>224</v>
      </c>
      <c r="E36">
        <v>25</v>
      </c>
      <c r="F36">
        <v>-22.4</v>
      </c>
      <c r="G36">
        <v>-1.7529999999999999</v>
      </c>
      <c r="H36">
        <v>0.14399999999999999</v>
      </c>
      <c r="J36" s="10"/>
      <c r="M36">
        <v>7.25</v>
      </c>
      <c r="N36" s="3">
        <f>I38</f>
        <v>-23.066666666666666</v>
      </c>
      <c r="O36" s="3">
        <f>J38</f>
        <v>0.65064070986477163</v>
      </c>
    </row>
    <row r="37" spans="1:15">
      <c r="A37" s="9">
        <v>135</v>
      </c>
      <c r="B37" t="s">
        <v>23</v>
      </c>
      <c r="C37" t="s">
        <v>225</v>
      </c>
      <c r="D37" t="s">
        <v>226</v>
      </c>
      <c r="E37">
        <v>25</v>
      </c>
      <c r="F37">
        <v>-23.1</v>
      </c>
      <c r="G37">
        <v>-1.8140000000000001</v>
      </c>
      <c r="H37">
        <v>0.14599999999999999</v>
      </c>
      <c r="J37" s="10"/>
      <c r="M37">
        <v>9.15</v>
      </c>
      <c r="N37" s="3">
        <f>I41</f>
        <v>-23.133333333333336</v>
      </c>
      <c r="O37" s="3">
        <f>J41</f>
        <v>1.2583057392117918</v>
      </c>
    </row>
    <row r="38" spans="1:15">
      <c r="A38" s="9">
        <v>136</v>
      </c>
      <c r="B38" t="s">
        <v>23</v>
      </c>
      <c r="C38" t="s">
        <v>227</v>
      </c>
      <c r="D38" t="s">
        <v>228</v>
      </c>
      <c r="E38">
        <v>25</v>
      </c>
      <c r="F38">
        <v>-23.7</v>
      </c>
      <c r="G38">
        <v>-1.8580000000000001</v>
      </c>
      <c r="H38">
        <v>0.14799999999999999</v>
      </c>
      <c r="I38" s="4">
        <f>AVERAGE(F36:F38)</f>
        <v>-23.066666666666666</v>
      </c>
      <c r="J38" s="11">
        <f>STDEV(F36:F38)</f>
        <v>0.65064070986477163</v>
      </c>
      <c r="M38">
        <v>10.14</v>
      </c>
      <c r="N38" s="3">
        <f>I44</f>
        <v>-23.366666666666664</v>
      </c>
      <c r="O38" s="3">
        <f>J44</f>
        <v>0.40414518843273833</v>
      </c>
    </row>
    <row r="39" spans="1:15">
      <c r="A39" s="9">
        <v>140</v>
      </c>
      <c r="B39" t="s">
        <v>23</v>
      </c>
      <c r="C39" t="s">
        <v>229</v>
      </c>
      <c r="D39" t="s">
        <v>230</v>
      </c>
      <c r="E39">
        <v>25</v>
      </c>
      <c r="F39">
        <v>-23.3</v>
      </c>
      <c r="G39">
        <v>-1.8280000000000001</v>
      </c>
      <c r="H39">
        <v>0.186</v>
      </c>
      <c r="J39" s="10"/>
      <c r="M39">
        <v>11.07</v>
      </c>
      <c r="N39" s="3">
        <f>I47</f>
        <v>-18.400000000000002</v>
      </c>
      <c r="O39" s="3">
        <f>J47</f>
        <v>1.2124355652982135</v>
      </c>
    </row>
    <row r="40" spans="1:15">
      <c r="A40" s="9">
        <v>141</v>
      </c>
      <c r="B40" t="s">
        <v>23</v>
      </c>
      <c r="C40" t="s">
        <v>231</v>
      </c>
      <c r="D40" t="s">
        <v>232</v>
      </c>
      <c r="E40">
        <v>25</v>
      </c>
      <c r="F40">
        <v>-24.3</v>
      </c>
      <c r="G40">
        <v>-1.9039999999999999</v>
      </c>
      <c r="H40">
        <v>0.188</v>
      </c>
      <c r="J40" s="10"/>
      <c r="M40">
        <v>12.04</v>
      </c>
      <c r="N40" s="3">
        <f>I50</f>
        <v>-20.566666666666666</v>
      </c>
      <c r="O40" s="3">
        <f>J50</f>
        <v>2.5929391302792366</v>
      </c>
    </row>
    <row r="41" spans="1:15">
      <c r="A41" s="9">
        <v>142</v>
      </c>
      <c r="B41" t="s">
        <v>23</v>
      </c>
      <c r="C41" t="s">
        <v>233</v>
      </c>
      <c r="D41" t="s">
        <v>234</v>
      </c>
      <c r="E41">
        <v>25</v>
      </c>
      <c r="F41">
        <v>-21.8</v>
      </c>
      <c r="G41">
        <v>-1.71</v>
      </c>
      <c r="H41">
        <v>0.191</v>
      </c>
      <c r="I41" s="4">
        <f>AVERAGE(F39:F41)</f>
        <v>-23.133333333333336</v>
      </c>
      <c r="J41" s="11">
        <f>STDEV(F39:F41)</f>
        <v>1.2583057392117918</v>
      </c>
      <c r="M41">
        <v>6.77</v>
      </c>
      <c r="N41" s="3">
        <f>I53</f>
        <v>-23.3</v>
      </c>
      <c r="O41" s="3">
        <f>J53</f>
        <v>1.1532562594670792</v>
      </c>
    </row>
    <row r="42" spans="1:15">
      <c r="A42" s="9">
        <v>143</v>
      </c>
      <c r="B42" t="s">
        <v>23</v>
      </c>
      <c r="C42" t="s">
        <v>235</v>
      </c>
      <c r="D42" t="s">
        <v>236</v>
      </c>
      <c r="E42">
        <v>25</v>
      </c>
      <c r="F42">
        <v>-23.8</v>
      </c>
      <c r="G42">
        <v>-1.8680000000000001</v>
      </c>
      <c r="H42">
        <v>0.217</v>
      </c>
      <c r="J42" s="10"/>
      <c r="M42">
        <v>6.04</v>
      </c>
      <c r="N42" s="3">
        <f>I56</f>
        <v>-13.200000000000001</v>
      </c>
      <c r="O42" s="3">
        <f>J56</f>
        <v>0.43588989435406683</v>
      </c>
    </row>
    <row r="43" spans="1:15">
      <c r="A43" s="9">
        <v>144</v>
      </c>
      <c r="B43" t="s">
        <v>23</v>
      </c>
      <c r="C43" t="s">
        <v>237</v>
      </c>
      <c r="D43" t="s">
        <v>238</v>
      </c>
      <c r="E43">
        <v>25</v>
      </c>
      <c r="F43">
        <v>-23</v>
      </c>
      <c r="G43">
        <v>-1.8069999999999999</v>
      </c>
      <c r="H43">
        <v>0.22</v>
      </c>
      <c r="J43" s="10"/>
      <c r="M43">
        <v>5.0999999999999996</v>
      </c>
      <c r="N43" s="3">
        <f>I59</f>
        <v>-2.75</v>
      </c>
      <c r="O43" s="3">
        <f>J59</f>
        <v>0.2200000000000002</v>
      </c>
    </row>
    <row r="44" spans="1:15">
      <c r="A44" s="9">
        <v>145</v>
      </c>
      <c r="B44" t="s">
        <v>23</v>
      </c>
      <c r="C44" t="s">
        <v>239</v>
      </c>
      <c r="D44" t="s">
        <v>240</v>
      </c>
      <c r="E44">
        <v>25</v>
      </c>
      <c r="F44">
        <v>-23.3</v>
      </c>
      <c r="G44">
        <v>-1.8240000000000001</v>
      </c>
      <c r="H44">
        <v>0.223</v>
      </c>
      <c r="I44" s="4">
        <f>AVERAGE(F42:F44)</f>
        <v>-23.366666666666664</v>
      </c>
      <c r="J44" s="11">
        <f>STDEV(F42:F44)</f>
        <v>0.40414518843273833</v>
      </c>
      <c r="M44">
        <v>4.1100000000000003</v>
      </c>
      <c r="N44" s="3">
        <f>I62</f>
        <v>9.93</v>
      </c>
      <c r="O44" s="3">
        <f>J62</f>
        <v>0.64861390672726116</v>
      </c>
    </row>
    <row r="45" spans="1:15">
      <c r="A45" s="9">
        <v>146</v>
      </c>
      <c r="B45" t="s">
        <v>23</v>
      </c>
      <c r="C45" t="s">
        <v>241</v>
      </c>
      <c r="D45" t="s">
        <v>242</v>
      </c>
      <c r="E45">
        <v>25</v>
      </c>
      <c r="F45">
        <v>-18.2</v>
      </c>
      <c r="G45">
        <v>-1.429</v>
      </c>
      <c r="H45">
        <v>0.42899999999999999</v>
      </c>
      <c r="J45" s="10"/>
      <c r="M45">
        <v>3.09</v>
      </c>
      <c r="N45" s="3">
        <f>I65</f>
        <v>19.966666666666669</v>
      </c>
      <c r="O45" s="3">
        <f>J65</f>
        <v>1.8903262505010441</v>
      </c>
    </row>
    <row r="46" spans="1:15">
      <c r="A46" s="9">
        <v>147</v>
      </c>
      <c r="B46" t="s">
        <v>23</v>
      </c>
      <c r="C46" t="s">
        <v>243</v>
      </c>
      <c r="D46" t="s">
        <v>244</v>
      </c>
      <c r="E46">
        <v>25</v>
      </c>
      <c r="F46">
        <v>-17.3</v>
      </c>
      <c r="G46">
        <v>-1.3540000000000001</v>
      </c>
      <c r="H46">
        <v>0.438</v>
      </c>
      <c r="J46" s="10"/>
      <c r="M46">
        <v>3.09</v>
      </c>
      <c r="N46" s="3">
        <f>I68</f>
        <v>22.066666666666666</v>
      </c>
      <c r="O46" s="3">
        <f>J68</f>
        <v>1.0692676621563635</v>
      </c>
    </row>
    <row r="47" spans="1:15">
      <c r="A47" s="9">
        <v>148</v>
      </c>
      <c r="B47" t="s">
        <v>23</v>
      </c>
      <c r="C47" t="s">
        <v>245</v>
      </c>
      <c r="D47" t="s">
        <v>246</v>
      </c>
      <c r="E47">
        <v>25</v>
      </c>
      <c r="F47">
        <v>-19.7</v>
      </c>
      <c r="G47">
        <v>-1.5469999999999999</v>
      </c>
      <c r="H47">
        <v>0.44400000000000001</v>
      </c>
      <c r="I47" s="4">
        <f>AVERAGE(F45:F47)</f>
        <v>-18.400000000000002</v>
      </c>
      <c r="J47" s="11">
        <f>STDEV(F45:F47)</f>
        <v>1.2124355652982135</v>
      </c>
    </row>
    <row r="48" spans="1:15">
      <c r="A48" s="9">
        <v>149</v>
      </c>
      <c r="B48" t="s">
        <v>23</v>
      </c>
      <c r="C48" t="s">
        <v>247</v>
      </c>
      <c r="D48" t="s">
        <v>248</v>
      </c>
      <c r="E48">
        <v>25</v>
      </c>
      <c r="F48">
        <v>-17.600000000000001</v>
      </c>
      <c r="G48">
        <v>-1.3779999999999999</v>
      </c>
      <c r="H48">
        <v>2.85</v>
      </c>
      <c r="J48" s="10"/>
    </row>
    <row r="49" spans="1:10">
      <c r="A49" s="9">
        <v>150</v>
      </c>
      <c r="B49" t="s">
        <v>23</v>
      </c>
      <c r="C49" t="s">
        <v>249</v>
      </c>
      <c r="D49" t="s">
        <v>250</v>
      </c>
      <c r="E49">
        <v>25</v>
      </c>
      <c r="F49">
        <v>-22.4</v>
      </c>
      <c r="G49">
        <v>-1.7569999999999999</v>
      </c>
      <c r="H49">
        <v>3.2</v>
      </c>
      <c r="J49" s="10"/>
    </row>
    <row r="50" spans="1:10">
      <c r="A50" s="9">
        <v>151</v>
      </c>
      <c r="B50" t="s">
        <v>23</v>
      </c>
      <c r="C50" t="s">
        <v>251</v>
      </c>
      <c r="D50" t="s">
        <v>252</v>
      </c>
      <c r="E50">
        <v>25</v>
      </c>
      <c r="F50">
        <v>-21.7</v>
      </c>
      <c r="G50">
        <v>-1.6990000000000001</v>
      </c>
      <c r="H50">
        <v>3.31</v>
      </c>
      <c r="I50" s="4">
        <f>AVERAGE(F48:F50)</f>
        <v>-20.566666666666666</v>
      </c>
      <c r="J50" s="11">
        <f>STDEV(F48:F50)</f>
        <v>2.5929391302792366</v>
      </c>
    </row>
    <row r="51" spans="1:10">
      <c r="A51" s="9">
        <v>152</v>
      </c>
      <c r="B51" t="s">
        <v>23</v>
      </c>
      <c r="C51" t="s">
        <v>253</v>
      </c>
      <c r="D51" t="s">
        <v>254</v>
      </c>
      <c r="E51">
        <v>25</v>
      </c>
      <c r="F51">
        <v>-22</v>
      </c>
      <c r="G51">
        <v>-1.724</v>
      </c>
      <c r="H51">
        <v>0.16900000000000001</v>
      </c>
      <c r="J51" s="10"/>
    </row>
    <row r="52" spans="1:10">
      <c r="A52" s="9">
        <v>153</v>
      </c>
      <c r="B52" t="s">
        <v>23</v>
      </c>
      <c r="C52" t="s">
        <v>255</v>
      </c>
      <c r="D52" t="s">
        <v>256</v>
      </c>
      <c r="E52">
        <v>25</v>
      </c>
      <c r="F52">
        <v>-23.7</v>
      </c>
      <c r="G52">
        <v>-1.861</v>
      </c>
      <c r="H52">
        <v>0.17100000000000001</v>
      </c>
      <c r="J52" s="10"/>
    </row>
    <row r="53" spans="1:10">
      <c r="A53" s="9">
        <v>154</v>
      </c>
      <c r="B53" t="s">
        <v>23</v>
      </c>
      <c r="C53" t="s">
        <v>257</v>
      </c>
      <c r="D53" t="s">
        <v>258</v>
      </c>
      <c r="E53">
        <v>25</v>
      </c>
      <c r="F53">
        <v>-24.2</v>
      </c>
      <c r="G53">
        <v>-1.9</v>
      </c>
      <c r="H53">
        <v>0.17299999999999999</v>
      </c>
      <c r="I53" s="4">
        <f>AVERAGE(F51:F53)</f>
        <v>-23.3</v>
      </c>
      <c r="J53" s="11">
        <f>STDEV(F51:F53)</f>
        <v>1.1532562594670792</v>
      </c>
    </row>
    <row r="54" spans="1:10">
      <c r="A54" s="9">
        <v>155</v>
      </c>
      <c r="B54" t="s">
        <v>23</v>
      </c>
      <c r="C54" t="s">
        <v>259</v>
      </c>
      <c r="D54" t="s">
        <v>260</v>
      </c>
      <c r="E54">
        <v>25</v>
      </c>
      <c r="F54">
        <v>-12.9</v>
      </c>
      <c r="G54">
        <v>-1.014</v>
      </c>
      <c r="H54">
        <v>0.14799999999999999</v>
      </c>
      <c r="J54" s="10"/>
    </row>
    <row r="55" spans="1:10">
      <c r="A55" s="9">
        <v>156</v>
      </c>
      <c r="B55" t="s">
        <v>23</v>
      </c>
      <c r="C55" t="s">
        <v>261</v>
      </c>
      <c r="D55" t="s">
        <v>262</v>
      </c>
      <c r="E55">
        <v>25</v>
      </c>
      <c r="F55">
        <v>-13.7</v>
      </c>
      <c r="G55">
        <v>-1.0740000000000001</v>
      </c>
      <c r="H55">
        <v>0.14799999999999999</v>
      </c>
      <c r="J55" s="10"/>
    </row>
    <row r="56" spans="1:10">
      <c r="A56" s="9">
        <v>157</v>
      </c>
      <c r="B56" t="s">
        <v>23</v>
      </c>
      <c r="C56" t="s">
        <v>263</v>
      </c>
      <c r="D56" t="s">
        <v>264</v>
      </c>
      <c r="E56">
        <v>25</v>
      </c>
      <c r="F56">
        <v>-13</v>
      </c>
      <c r="G56">
        <v>-1.022</v>
      </c>
      <c r="H56">
        <v>0.14899999999999999</v>
      </c>
      <c r="I56" s="4">
        <f>AVERAGE(F54:F56)</f>
        <v>-13.200000000000001</v>
      </c>
      <c r="J56" s="11">
        <f>STDEV(F54:F56)</f>
        <v>0.43588989435406683</v>
      </c>
    </row>
    <row r="57" spans="1:10">
      <c r="A57" s="9">
        <v>158</v>
      </c>
      <c r="B57" t="s">
        <v>23</v>
      </c>
      <c r="C57" t="s">
        <v>265</v>
      </c>
      <c r="D57" t="s">
        <v>266</v>
      </c>
      <c r="E57">
        <v>25</v>
      </c>
      <c r="F57">
        <v>-2.97</v>
      </c>
      <c r="G57">
        <v>-0.23269999999999999</v>
      </c>
      <c r="H57">
        <v>0.151</v>
      </c>
      <c r="J57" s="10"/>
    </row>
    <row r="58" spans="1:10">
      <c r="A58" s="9">
        <v>159</v>
      </c>
      <c r="B58" t="s">
        <v>23</v>
      </c>
      <c r="C58" t="s">
        <v>267</v>
      </c>
      <c r="D58" t="s">
        <v>268</v>
      </c>
      <c r="E58">
        <v>25</v>
      </c>
      <c r="F58">
        <v>-2.75</v>
      </c>
      <c r="G58">
        <v>-0.21579999999999999</v>
      </c>
      <c r="H58">
        <v>0.153</v>
      </c>
      <c r="J58" s="10"/>
    </row>
    <row r="59" spans="1:10">
      <c r="A59" s="9">
        <v>160</v>
      </c>
      <c r="B59" t="s">
        <v>23</v>
      </c>
      <c r="C59" t="s">
        <v>269</v>
      </c>
      <c r="D59" t="s">
        <v>270</v>
      </c>
      <c r="E59">
        <v>25</v>
      </c>
      <c r="F59">
        <v>-2.5299999999999998</v>
      </c>
      <c r="G59">
        <v>-0.19850000000000001</v>
      </c>
      <c r="H59">
        <v>0.154</v>
      </c>
      <c r="I59" s="4">
        <f>AVERAGE(F57:F59)</f>
        <v>-2.75</v>
      </c>
      <c r="J59" s="11">
        <f>STDEV(F57:F59)</f>
        <v>0.2200000000000002</v>
      </c>
    </row>
    <row r="60" spans="1:10">
      <c r="A60" s="9">
        <v>161</v>
      </c>
      <c r="B60" t="s">
        <v>23</v>
      </c>
      <c r="C60" t="s">
        <v>271</v>
      </c>
      <c r="D60" t="s">
        <v>272</v>
      </c>
      <c r="E60">
        <v>25</v>
      </c>
      <c r="F60">
        <v>9.19</v>
      </c>
      <c r="G60">
        <v>0.72030000000000005</v>
      </c>
      <c r="H60">
        <v>0.18</v>
      </c>
      <c r="J60" s="10"/>
    </row>
    <row r="61" spans="1:10">
      <c r="A61" s="9">
        <v>162</v>
      </c>
      <c r="B61" t="s">
        <v>23</v>
      </c>
      <c r="C61" t="s">
        <v>273</v>
      </c>
      <c r="D61" t="s">
        <v>274</v>
      </c>
      <c r="E61">
        <v>25</v>
      </c>
      <c r="F61">
        <v>10.199999999999999</v>
      </c>
      <c r="G61">
        <v>0.79600000000000004</v>
      </c>
      <c r="H61">
        <v>0.182</v>
      </c>
      <c r="J61" s="10"/>
    </row>
    <row r="62" spans="1:10">
      <c r="A62" s="9">
        <v>163</v>
      </c>
      <c r="B62" t="s">
        <v>23</v>
      </c>
      <c r="C62" t="s">
        <v>275</v>
      </c>
      <c r="D62" t="s">
        <v>276</v>
      </c>
      <c r="E62">
        <v>25</v>
      </c>
      <c r="F62">
        <v>10.4</v>
      </c>
      <c r="G62">
        <v>0.81579999999999997</v>
      </c>
      <c r="H62">
        <v>0.183</v>
      </c>
      <c r="I62" s="4">
        <f>AVERAGE(F60:F62)</f>
        <v>9.93</v>
      </c>
      <c r="J62" s="11">
        <f>STDEV(F60:F62)</f>
        <v>0.64861390672726116</v>
      </c>
    </row>
    <row r="63" spans="1:10">
      <c r="A63" s="9">
        <v>164</v>
      </c>
      <c r="B63" t="s">
        <v>23</v>
      </c>
      <c r="C63" t="s">
        <v>277</v>
      </c>
      <c r="D63" t="s">
        <v>278</v>
      </c>
      <c r="E63">
        <v>25</v>
      </c>
      <c r="F63">
        <v>22.1</v>
      </c>
      <c r="G63">
        <v>1.7350000000000001</v>
      </c>
      <c r="H63">
        <v>0.5</v>
      </c>
      <c r="J63" s="10"/>
    </row>
    <row r="64" spans="1:10">
      <c r="A64" s="9">
        <v>165</v>
      </c>
      <c r="B64" t="s">
        <v>23</v>
      </c>
      <c r="C64" t="s">
        <v>279</v>
      </c>
      <c r="D64" t="s">
        <v>280</v>
      </c>
      <c r="E64">
        <v>25</v>
      </c>
      <c r="F64">
        <v>19.3</v>
      </c>
      <c r="G64">
        <v>1.516</v>
      </c>
      <c r="H64">
        <v>0.51100000000000001</v>
      </c>
      <c r="J64" s="10"/>
    </row>
    <row r="65" spans="1:15">
      <c r="A65" s="9">
        <v>166</v>
      </c>
      <c r="B65" t="s">
        <v>23</v>
      </c>
      <c r="C65" t="s">
        <v>281</v>
      </c>
      <c r="D65" t="s">
        <v>282</v>
      </c>
      <c r="E65">
        <v>25</v>
      </c>
      <c r="F65">
        <v>18.5</v>
      </c>
      <c r="G65">
        <v>1.454</v>
      </c>
      <c r="H65">
        <v>0.51700000000000002</v>
      </c>
      <c r="I65" s="4">
        <f>AVERAGE(F63:F65)</f>
        <v>19.966666666666669</v>
      </c>
      <c r="J65" s="11">
        <f>STDEV(F63:F65)</f>
        <v>1.8903262505010441</v>
      </c>
    </row>
    <row r="66" spans="1:15">
      <c r="A66" s="9">
        <v>167</v>
      </c>
      <c r="B66" t="s">
        <v>23</v>
      </c>
      <c r="C66" t="s">
        <v>277</v>
      </c>
      <c r="D66" t="s">
        <v>283</v>
      </c>
      <c r="E66">
        <v>25</v>
      </c>
      <c r="F66">
        <v>21.5</v>
      </c>
      <c r="G66">
        <v>1.6870000000000001</v>
      </c>
      <c r="H66">
        <v>0.5</v>
      </c>
      <c r="J66" s="10"/>
    </row>
    <row r="67" spans="1:15">
      <c r="A67" s="9">
        <v>168</v>
      </c>
      <c r="B67" t="s">
        <v>23</v>
      </c>
      <c r="C67" t="s">
        <v>279</v>
      </c>
      <c r="D67" t="s">
        <v>284</v>
      </c>
      <c r="E67">
        <v>25</v>
      </c>
      <c r="F67">
        <v>21.4</v>
      </c>
      <c r="G67">
        <v>1.68</v>
      </c>
      <c r="H67">
        <v>0.51100000000000001</v>
      </c>
      <c r="J67" s="10"/>
    </row>
    <row r="68" spans="1:15">
      <c r="A68" s="9">
        <v>169</v>
      </c>
      <c r="B68" t="s">
        <v>23</v>
      </c>
      <c r="C68" t="s">
        <v>281</v>
      </c>
      <c r="D68" t="s">
        <v>285</v>
      </c>
      <c r="E68">
        <v>25</v>
      </c>
      <c r="F68">
        <v>23.3</v>
      </c>
      <c r="G68">
        <v>1.827</v>
      </c>
      <c r="H68">
        <v>0.51600000000000001</v>
      </c>
      <c r="I68" s="4">
        <f>AVERAGE(F66:F68)</f>
        <v>22.066666666666666</v>
      </c>
      <c r="J68" s="11">
        <f>STDEV(F66:F68)</f>
        <v>1.0692676621563635</v>
      </c>
    </row>
    <row r="69" spans="1:15">
      <c r="A69" s="6">
        <v>173</v>
      </c>
      <c r="B69" s="7" t="s">
        <v>23</v>
      </c>
      <c r="C69" s="7" t="s">
        <v>286</v>
      </c>
      <c r="D69" s="7" t="s">
        <v>287</v>
      </c>
      <c r="E69" s="7">
        <v>25</v>
      </c>
      <c r="F69" s="7">
        <v>-20.9</v>
      </c>
      <c r="G69" s="7">
        <v>-1.64</v>
      </c>
      <c r="H69" s="7">
        <v>0.14599999999999999</v>
      </c>
      <c r="I69" s="7"/>
      <c r="J69" s="8"/>
    </row>
    <row r="70" spans="1:15">
      <c r="A70" s="9">
        <v>174</v>
      </c>
      <c r="B70" t="s">
        <v>23</v>
      </c>
      <c r="C70" t="s">
        <v>288</v>
      </c>
      <c r="D70" t="s">
        <v>289</v>
      </c>
      <c r="E70">
        <v>25</v>
      </c>
      <c r="F70">
        <v>-20.100000000000001</v>
      </c>
      <c r="G70">
        <v>-1.5740000000000001</v>
      </c>
      <c r="H70">
        <v>0.14699999999999999</v>
      </c>
      <c r="J70" s="10"/>
      <c r="M70" t="s">
        <v>26</v>
      </c>
      <c r="N70" t="s">
        <v>27</v>
      </c>
      <c r="O70" t="s">
        <v>22</v>
      </c>
    </row>
    <row r="71" spans="1:15">
      <c r="A71" s="9">
        <v>175</v>
      </c>
      <c r="B71" t="s">
        <v>23</v>
      </c>
      <c r="C71" t="s">
        <v>290</v>
      </c>
      <c r="D71" t="s">
        <v>291</v>
      </c>
      <c r="E71">
        <v>25</v>
      </c>
      <c r="F71">
        <v>-20</v>
      </c>
      <c r="G71">
        <v>-1.5660000000000001</v>
      </c>
      <c r="H71">
        <v>0.14799999999999999</v>
      </c>
      <c r="I71" s="4">
        <f>AVERAGE(F69:F71)</f>
        <v>-20.333333333333332</v>
      </c>
      <c r="J71" s="11">
        <f>STDEV(F69:F71)</f>
        <v>0.49328828623162357</v>
      </c>
      <c r="M71">
        <v>7.2</v>
      </c>
      <c r="N71" s="3">
        <f>I71</f>
        <v>-20.333333333333332</v>
      </c>
      <c r="O71" s="3">
        <f>J71</f>
        <v>0.49328828623162357</v>
      </c>
    </row>
    <row r="72" spans="1:15">
      <c r="A72" s="9">
        <v>176</v>
      </c>
      <c r="B72" t="s">
        <v>23</v>
      </c>
      <c r="C72" t="s">
        <v>292</v>
      </c>
      <c r="D72" t="s">
        <v>293</v>
      </c>
      <c r="E72">
        <v>25</v>
      </c>
      <c r="F72">
        <v>-17.3</v>
      </c>
      <c r="G72">
        <v>-1.359</v>
      </c>
      <c r="H72">
        <v>0.157</v>
      </c>
      <c r="J72" s="10"/>
      <c r="M72">
        <v>8.58</v>
      </c>
      <c r="N72" s="3">
        <f>I74</f>
        <v>-17.333333333333332</v>
      </c>
      <c r="O72" s="3">
        <f>J74</f>
        <v>0.35118845842842422</v>
      </c>
    </row>
    <row r="73" spans="1:15">
      <c r="A73" s="9">
        <v>177</v>
      </c>
      <c r="B73" t="s">
        <v>23</v>
      </c>
      <c r="C73" t="s">
        <v>294</v>
      </c>
      <c r="D73" t="s">
        <v>295</v>
      </c>
      <c r="E73">
        <v>25</v>
      </c>
      <c r="F73">
        <v>-17</v>
      </c>
      <c r="G73">
        <v>-1.335</v>
      </c>
      <c r="H73">
        <v>0.159</v>
      </c>
      <c r="J73" s="10"/>
      <c r="M73">
        <v>11.26</v>
      </c>
      <c r="N73" s="3">
        <f>I77</f>
        <v>-19.366666666666664</v>
      </c>
      <c r="O73" s="3">
        <f>J77</f>
        <v>0.90737717258774708</v>
      </c>
    </row>
    <row r="74" spans="1:15">
      <c r="A74" s="9">
        <v>178</v>
      </c>
      <c r="B74" t="s">
        <v>23</v>
      </c>
      <c r="C74" t="s">
        <v>296</v>
      </c>
      <c r="D74" t="s">
        <v>297</v>
      </c>
      <c r="E74">
        <v>25</v>
      </c>
      <c r="F74">
        <v>-17.7</v>
      </c>
      <c r="G74">
        <v>-1.387</v>
      </c>
      <c r="H74">
        <v>0.161</v>
      </c>
      <c r="I74" s="4">
        <f>AVERAGE(F72:F74)</f>
        <v>-17.333333333333332</v>
      </c>
      <c r="J74" s="11">
        <f>STDEV(F72:F74)</f>
        <v>0.35118845842842422</v>
      </c>
      <c r="M74">
        <v>12.06</v>
      </c>
      <c r="N74" s="3">
        <f>I80</f>
        <v>-26.533333333333331</v>
      </c>
      <c r="O74" s="3">
        <f>J80</f>
        <v>2.6501572280401282</v>
      </c>
    </row>
    <row r="75" spans="1:15">
      <c r="A75" s="9">
        <v>185</v>
      </c>
      <c r="B75" t="s">
        <v>23</v>
      </c>
      <c r="C75" t="s">
        <v>298</v>
      </c>
      <c r="D75" t="s">
        <v>299</v>
      </c>
      <c r="E75">
        <v>25</v>
      </c>
      <c r="F75">
        <v>-18.399999999999999</v>
      </c>
      <c r="G75">
        <v>-1.44</v>
      </c>
      <c r="H75">
        <v>0.55000000000000004</v>
      </c>
      <c r="J75" s="10"/>
      <c r="M75">
        <v>6.8</v>
      </c>
      <c r="N75" s="3">
        <f>I83</f>
        <v>-22.733333333333334</v>
      </c>
      <c r="O75" s="3">
        <f>J83</f>
        <v>0.46188021535170104</v>
      </c>
    </row>
    <row r="76" spans="1:15">
      <c r="A76" s="9">
        <v>186</v>
      </c>
      <c r="B76" t="s">
        <v>23</v>
      </c>
      <c r="C76" t="s">
        <v>300</v>
      </c>
      <c r="D76" t="s">
        <v>301</v>
      </c>
      <c r="E76">
        <v>25</v>
      </c>
      <c r="F76">
        <v>-19.5</v>
      </c>
      <c r="G76">
        <v>-1.53</v>
      </c>
      <c r="H76">
        <v>0.56299999999999994</v>
      </c>
      <c r="J76" s="10"/>
      <c r="M76">
        <v>6</v>
      </c>
      <c r="N76" s="3">
        <f>I86</f>
        <v>-9.6366666666666667</v>
      </c>
      <c r="O76" s="3">
        <f>J86</f>
        <v>0.26102362600602508</v>
      </c>
    </row>
    <row r="77" spans="1:15">
      <c r="A77" s="9">
        <v>187</v>
      </c>
      <c r="B77" t="s">
        <v>23</v>
      </c>
      <c r="C77" t="s">
        <v>302</v>
      </c>
      <c r="D77" t="s">
        <v>303</v>
      </c>
      <c r="E77">
        <v>25</v>
      </c>
      <c r="F77">
        <v>-20.2</v>
      </c>
      <c r="G77">
        <v>-1.5820000000000001</v>
      </c>
      <c r="H77">
        <v>0.57099999999999995</v>
      </c>
      <c r="I77" s="4">
        <f>AVERAGE(F75:F77)</f>
        <v>-19.366666666666664</v>
      </c>
      <c r="J77" s="11">
        <f>STDEV(F75:F77)</f>
        <v>0.90737717258774708</v>
      </c>
      <c r="M77">
        <v>5.05</v>
      </c>
      <c r="N77" s="3">
        <f>I89</f>
        <v>1.1333333333333333</v>
      </c>
      <c r="O77" s="3">
        <f>J89</f>
        <v>0.95657374693921715</v>
      </c>
    </row>
    <row r="78" spans="1:15">
      <c r="A78" s="9">
        <v>191</v>
      </c>
      <c r="B78" t="s">
        <v>23</v>
      </c>
      <c r="C78" t="s">
        <v>304</v>
      </c>
      <c r="D78" t="s">
        <v>305</v>
      </c>
      <c r="E78">
        <v>25</v>
      </c>
      <c r="F78">
        <v>-23.9</v>
      </c>
      <c r="G78">
        <v>-1.877</v>
      </c>
      <c r="H78">
        <v>3.48</v>
      </c>
      <c r="J78" s="10"/>
      <c r="M78">
        <v>4.09</v>
      </c>
      <c r="N78" s="3">
        <f>I92</f>
        <v>9.0233333333333334</v>
      </c>
      <c r="O78" s="3">
        <f>J92</f>
        <v>6.1101009266077533E-2</v>
      </c>
    </row>
    <row r="79" spans="1:15">
      <c r="A79" s="9">
        <v>192</v>
      </c>
      <c r="B79" t="s">
        <v>23</v>
      </c>
      <c r="C79" t="s">
        <v>306</v>
      </c>
      <c r="D79" t="s">
        <v>307</v>
      </c>
      <c r="E79">
        <v>25</v>
      </c>
      <c r="F79">
        <v>-26.5</v>
      </c>
      <c r="G79">
        <v>-2.0760000000000001</v>
      </c>
      <c r="H79">
        <v>3.94</v>
      </c>
      <c r="J79" s="10"/>
    </row>
    <row r="80" spans="1:15">
      <c r="A80" s="9">
        <v>193</v>
      </c>
      <c r="B80" t="s">
        <v>23</v>
      </c>
      <c r="C80" t="s">
        <v>308</v>
      </c>
      <c r="D80" t="s">
        <v>309</v>
      </c>
      <c r="E80">
        <v>25</v>
      </c>
      <c r="F80">
        <v>-29.2</v>
      </c>
      <c r="G80">
        <v>-2.2890000000000001</v>
      </c>
      <c r="H80">
        <v>4.08</v>
      </c>
      <c r="I80" s="4">
        <f>AVERAGE(F78:F80)</f>
        <v>-26.533333333333331</v>
      </c>
      <c r="J80" s="11">
        <f>STDEV(F78:F80)</f>
        <v>2.6501572280401282</v>
      </c>
    </row>
    <row r="81" spans="1:10">
      <c r="A81" s="9">
        <v>194</v>
      </c>
      <c r="B81" t="s">
        <v>23</v>
      </c>
      <c r="C81" t="s">
        <v>310</v>
      </c>
      <c r="D81" t="s">
        <v>311</v>
      </c>
      <c r="E81">
        <v>25</v>
      </c>
      <c r="F81">
        <v>-23</v>
      </c>
      <c r="G81">
        <v>-1.8029999999999999</v>
      </c>
      <c r="H81">
        <v>0.31900000000000001</v>
      </c>
      <c r="J81" s="10"/>
    </row>
    <row r="82" spans="1:10">
      <c r="A82" s="9">
        <v>195</v>
      </c>
      <c r="B82" t="s">
        <v>23</v>
      </c>
      <c r="C82" t="s">
        <v>312</v>
      </c>
      <c r="D82" t="s">
        <v>313</v>
      </c>
      <c r="E82">
        <v>25</v>
      </c>
      <c r="F82">
        <v>-23</v>
      </c>
      <c r="G82">
        <v>-1.8</v>
      </c>
      <c r="H82">
        <v>0.32800000000000001</v>
      </c>
      <c r="J82" s="10"/>
    </row>
    <row r="83" spans="1:10">
      <c r="A83" s="9">
        <v>196</v>
      </c>
      <c r="B83" t="s">
        <v>23</v>
      </c>
      <c r="C83" t="s">
        <v>314</v>
      </c>
      <c r="D83" t="s">
        <v>315</v>
      </c>
      <c r="E83">
        <v>25</v>
      </c>
      <c r="F83">
        <v>-22.2</v>
      </c>
      <c r="G83">
        <v>-1.738</v>
      </c>
      <c r="H83">
        <v>0.33400000000000002</v>
      </c>
      <c r="I83" s="4">
        <f>AVERAGE(F81:F83)</f>
        <v>-22.733333333333334</v>
      </c>
      <c r="J83" s="11">
        <f>STDEV(F81:F83)</f>
        <v>0.46188021535170104</v>
      </c>
    </row>
    <row r="84" spans="1:10">
      <c r="A84" s="9">
        <v>200</v>
      </c>
      <c r="B84" t="s">
        <v>23</v>
      </c>
      <c r="C84" t="s">
        <v>316</v>
      </c>
      <c r="D84" t="s">
        <v>317</v>
      </c>
      <c r="E84">
        <v>25</v>
      </c>
      <c r="F84">
        <v>-9.39</v>
      </c>
      <c r="G84">
        <v>-0.73609999999999998</v>
      </c>
      <c r="H84">
        <v>0.14399999999999999</v>
      </c>
      <c r="J84" s="10"/>
    </row>
    <row r="85" spans="1:10">
      <c r="A85" s="9">
        <v>201</v>
      </c>
      <c r="B85" t="s">
        <v>23</v>
      </c>
      <c r="C85" t="s">
        <v>318</v>
      </c>
      <c r="D85" t="s">
        <v>319</v>
      </c>
      <c r="E85">
        <v>25</v>
      </c>
      <c r="F85">
        <v>-9.91</v>
      </c>
      <c r="G85">
        <v>-0.7772</v>
      </c>
      <c r="H85">
        <v>0.14499999999999999</v>
      </c>
      <c r="J85" s="10"/>
    </row>
    <row r="86" spans="1:10">
      <c r="A86" s="9">
        <v>202</v>
      </c>
      <c r="B86" t="s">
        <v>23</v>
      </c>
      <c r="C86" t="s">
        <v>320</v>
      </c>
      <c r="D86" t="s">
        <v>321</v>
      </c>
      <c r="E86">
        <v>25</v>
      </c>
      <c r="F86">
        <v>-9.61</v>
      </c>
      <c r="G86">
        <v>-0.75329999999999997</v>
      </c>
      <c r="H86">
        <v>0.14599999999999999</v>
      </c>
      <c r="I86" s="4">
        <f>AVERAGE(F84:F86)</f>
        <v>-9.6366666666666667</v>
      </c>
      <c r="J86" s="11">
        <f>STDEV(F84:F86)</f>
        <v>0.26102362600602508</v>
      </c>
    </row>
    <row r="87" spans="1:10">
      <c r="A87" s="9">
        <v>203</v>
      </c>
      <c r="B87" t="s">
        <v>23</v>
      </c>
      <c r="C87" t="s">
        <v>322</v>
      </c>
      <c r="D87" t="s">
        <v>323</v>
      </c>
      <c r="E87">
        <v>25</v>
      </c>
      <c r="F87">
        <v>0.03</v>
      </c>
      <c r="G87">
        <v>2.3530000000000001E-3</v>
      </c>
      <c r="H87">
        <v>0.153</v>
      </c>
      <c r="J87" s="10"/>
    </row>
    <row r="88" spans="1:10">
      <c r="A88" s="9">
        <v>204</v>
      </c>
      <c r="B88" t="s">
        <v>23</v>
      </c>
      <c r="C88" t="s">
        <v>324</v>
      </c>
      <c r="D88" t="s">
        <v>325</v>
      </c>
      <c r="E88">
        <v>25</v>
      </c>
      <c r="F88">
        <v>1.73</v>
      </c>
      <c r="G88">
        <v>0.13550000000000001</v>
      </c>
      <c r="H88">
        <v>0.157</v>
      </c>
      <c r="J88" s="10"/>
    </row>
    <row r="89" spans="1:10">
      <c r="A89" s="9">
        <v>205</v>
      </c>
      <c r="B89" t="s">
        <v>23</v>
      </c>
      <c r="C89" t="s">
        <v>326</v>
      </c>
      <c r="D89" t="s">
        <v>327</v>
      </c>
      <c r="E89">
        <v>25</v>
      </c>
      <c r="F89">
        <v>1.64</v>
      </c>
      <c r="G89">
        <v>0.1285</v>
      </c>
      <c r="H89">
        <v>0.158</v>
      </c>
      <c r="I89" s="4">
        <f>AVERAGE(F87:F89)</f>
        <v>1.1333333333333333</v>
      </c>
      <c r="J89" s="11">
        <f>STDEV(F87:F89)</f>
        <v>0.95657374693921715</v>
      </c>
    </row>
    <row r="90" spans="1:10">
      <c r="A90" s="9">
        <v>209</v>
      </c>
      <c r="B90" t="s">
        <v>23</v>
      </c>
      <c r="C90" t="s">
        <v>328</v>
      </c>
      <c r="D90" t="s">
        <v>329</v>
      </c>
      <c r="E90">
        <v>25</v>
      </c>
      <c r="F90">
        <v>8.9700000000000006</v>
      </c>
      <c r="G90">
        <v>0.70279999999999998</v>
      </c>
      <c r="H90">
        <v>0.188</v>
      </c>
      <c r="J90" s="10"/>
    </row>
    <row r="91" spans="1:10">
      <c r="A91" s="9">
        <v>210</v>
      </c>
      <c r="B91" t="s">
        <v>23</v>
      </c>
      <c r="C91" t="s">
        <v>330</v>
      </c>
      <c r="D91" t="s">
        <v>331</v>
      </c>
      <c r="E91">
        <v>25</v>
      </c>
      <c r="F91">
        <v>9.01</v>
      </c>
      <c r="G91">
        <v>0.70669999999999999</v>
      </c>
      <c r="H91">
        <v>0.191</v>
      </c>
      <c r="J91" s="10"/>
    </row>
    <row r="92" spans="1:10">
      <c r="A92" s="9">
        <v>211</v>
      </c>
      <c r="B92" t="s">
        <v>23</v>
      </c>
      <c r="C92" t="s">
        <v>332</v>
      </c>
      <c r="D92" t="s">
        <v>333</v>
      </c>
      <c r="E92">
        <v>25</v>
      </c>
      <c r="F92">
        <v>9.09</v>
      </c>
      <c r="G92">
        <v>0.71289999999999998</v>
      </c>
      <c r="H92">
        <v>0.191</v>
      </c>
      <c r="I92" s="4">
        <f>AVERAGE(F90:F92)</f>
        <v>9.0233333333333334</v>
      </c>
      <c r="J92" s="11">
        <f>STDEV(F90:F92)</f>
        <v>6.1101009266077533E-2</v>
      </c>
    </row>
    <row r="93" spans="1:10">
      <c r="A93" s="12"/>
      <c r="B93" s="13"/>
      <c r="C93" s="13"/>
      <c r="D93" s="13"/>
      <c r="E93" s="13"/>
      <c r="F93" s="13"/>
      <c r="G93" s="13"/>
      <c r="H93" s="13"/>
      <c r="I93" s="13"/>
      <c r="J93" s="1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sqref="A1:C13"/>
    </sheetView>
  </sheetViews>
  <sheetFormatPr defaultRowHeight="14.25"/>
  <sheetData>
    <row r="1" spans="1:3">
      <c r="A1" t="s">
        <v>26</v>
      </c>
      <c r="B1" t="s">
        <v>27</v>
      </c>
      <c r="C1" t="s">
        <v>22</v>
      </c>
    </row>
    <row r="2" spans="1:3">
      <c r="A2">
        <v>6.59</v>
      </c>
      <c r="B2">
        <v>-21.400000000000002</v>
      </c>
      <c r="C2">
        <v>0.17320508075688815</v>
      </c>
    </row>
    <row r="3" spans="1:3">
      <c r="A3">
        <v>7.25</v>
      </c>
      <c r="B3">
        <v>-23.066666666666666</v>
      </c>
      <c r="C3">
        <v>0.65064070986477163</v>
      </c>
    </row>
    <row r="4" spans="1:3">
      <c r="A4">
        <v>9.15</v>
      </c>
      <c r="B4">
        <v>-23.133333333333336</v>
      </c>
      <c r="C4">
        <v>1.2583057392117918</v>
      </c>
    </row>
    <row r="5" spans="1:3">
      <c r="A5">
        <v>10.14</v>
      </c>
      <c r="B5">
        <v>-23.366666666666664</v>
      </c>
      <c r="C5">
        <v>0.40414518843273833</v>
      </c>
    </row>
    <row r="6" spans="1:3">
      <c r="A6">
        <v>11.07</v>
      </c>
      <c r="B6">
        <v>-18.400000000000002</v>
      </c>
      <c r="C6">
        <v>1.2124355652982135</v>
      </c>
    </row>
    <row r="7" spans="1:3">
      <c r="A7">
        <v>12.04</v>
      </c>
      <c r="B7">
        <v>-20.566666666666666</v>
      </c>
      <c r="C7">
        <v>2.5929391302792366</v>
      </c>
    </row>
    <row r="8" spans="1:3">
      <c r="A8">
        <v>6.77</v>
      </c>
      <c r="B8">
        <v>-23.3</v>
      </c>
      <c r="C8">
        <v>1.1532562594670792</v>
      </c>
    </row>
    <row r="9" spans="1:3">
      <c r="A9">
        <v>6.04</v>
      </c>
      <c r="B9">
        <v>-13.200000000000001</v>
      </c>
      <c r="C9">
        <v>0.43588989435406683</v>
      </c>
    </row>
    <row r="10" spans="1:3">
      <c r="A10">
        <v>5.0999999999999996</v>
      </c>
      <c r="B10">
        <v>-2.75</v>
      </c>
      <c r="C10">
        <v>0.2200000000000002</v>
      </c>
    </row>
    <row r="11" spans="1:3">
      <c r="A11">
        <v>4.1100000000000003</v>
      </c>
      <c r="B11">
        <v>9.93</v>
      </c>
      <c r="C11">
        <v>0.64861390672726116</v>
      </c>
    </row>
    <row r="12" spans="1:3">
      <c r="A12">
        <v>3.09</v>
      </c>
      <c r="B12">
        <v>19.966666666666669</v>
      </c>
      <c r="C12">
        <v>1.8903262505010441</v>
      </c>
    </row>
    <row r="13" spans="1:3">
      <c r="A13">
        <v>3.09</v>
      </c>
      <c r="B13">
        <v>22.066666666666666</v>
      </c>
      <c r="C13">
        <v>1.0692676621563635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topLeftCell="I1" workbookViewId="0">
      <selection activeCell="S26" sqref="S26"/>
    </sheetView>
  </sheetViews>
  <sheetFormatPr defaultRowHeight="14.25"/>
  <cols>
    <col min="3" max="3" width="19.625" customWidth="1"/>
  </cols>
  <sheetData>
    <row r="1" spans="1:1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15">
      <c r="A2" t="s">
        <v>16</v>
      </c>
      <c r="C2" t="s">
        <v>16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</row>
    <row r="3" spans="1:15">
      <c r="A3">
        <v>227</v>
      </c>
      <c r="B3" t="s">
        <v>23</v>
      </c>
      <c r="C3" t="s">
        <v>334</v>
      </c>
      <c r="D3" t="s">
        <v>335</v>
      </c>
      <c r="E3">
        <v>25</v>
      </c>
      <c r="F3">
        <v>-24.8</v>
      </c>
      <c r="G3">
        <v>-1.9470000000000001</v>
      </c>
      <c r="H3">
        <v>0.17100000000000001</v>
      </c>
    </row>
    <row r="4" spans="1:15">
      <c r="A4">
        <v>228</v>
      </c>
      <c r="B4" t="s">
        <v>23</v>
      </c>
      <c r="C4" t="s">
        <v>336</v>
      </c>
      <c r="D4" t="s">
        <v>337</v>
      </c>
      <c r="E4">
        <v>25</v>
      </c>
      <c r="F4">
        <v>-22.6</v>
      </c>
      <c r="G4">
        <v>-1.768</v>
      </c>
      <c r="H4">
        <v>0.17299999999999999</v>
      </c>
    </row>
    <row r="5" spans="1:15">
      <c r="A5">
        <v>229</v>
      </c>
      <c r="B5" t="s">
        <v>23</v>
      </c>
      <c r="C5" t="s">
        <v>338</v>
      </c>
      <c r="D5" t="s">
        <v>339</v>
      </c>
      <c r="E5">
        <v>25</v>
      </c>
      <c r="F5">
        <v>-26.9</v>
      </c>
      <c r="G5">
        <v>-2.1080000000000001</v>
      </c>
      <c r="H5">
        <v>0.17599999999999999</v>
      </c>
      <c r="I5" s="4">
        <f>AVERAGE(F3:F5)</f>
        <v>-24.766666666666669</v>
      </c>
      <c r="J5" s="4">
        <f>STDEV(F3:F5)</f>
        <v>2.1501937897160173</v>
      </c>
      <c r="M5" t="s">
        <v>26</v>
      </c>
      <c r="N5" t="s">
        <v>27</v>
      </c>
      <c r="O5" t="s">
        <v>22</v>
      </c>
    </row>
    <row r="6" spans="1:15">
      <c r="A6">
        <v>230</v>
      </c>
      <c r="B6" t="s">
        <v>23</v>
      </c>
      <c r="C6" t="s">
        <v>340</v>
      </c>
      <c r="D6" t="s">
        <v>341</v>
      </c>
      <c r="E6">
        <v>25</v>
      </c>
      <c r="F6">
        <v>-28.4</v>
      </c>
      <c r="G6">
        <v>-2.2229999999999999</v>
      </c>
      <c r="H6">
        <v>0.17699999999999999</v>
      </c>
      <c r="M6">
        <v>3.08</v>
      </c>
      <c r="N6" s="3">
        <f>I35</f>
        <v>-17.133333333333329</v>
      </c>
      <c r="O6" s="3">
        <f>J35</f>
        <v>0.58594652770823241</v>
      </c>
    </row>
    <row r="7" spans="1:15">
      <c r="A7">
        <v>231</v>
      </c>
      <c r="B7" t="s">
        <v>23</v>
      </c>
      <c r="C7" t="s">
        <v>342</v>
      </c>
      <c r="D7" t="s">
        <v>343</v>
      </c>
      <c r="E7">
        <v>25</v>
      </c>
      <c r="F7">
        <v>-26.6</v>
      </c>
      <c r="G7">
        <v>-2.0880000000000001</v>
      </c>
      <c r="H7">
        <v>0.17899999999999999</v>
      </c>
      <c r="M7">
        <v>4.0599999999999996</v>
      </c>
      <c r="N7" s="3">
        <f>I32</f>
        <v>-20.566666666666666</v>
      </c>
      <c r="O7" s="5">
        <f>J32</f>
        <v>0.1527525231651953</v>
      </c>
    </row>
    <row r="8" spans="1:15">
      <c r="A8">
        <v>232</v>
      </c>
      <c r="B8" t="s">
        <v>23</v>
      </c>
      <c r="C8" t="s">
        <v>344</v>
      </c>
      <c r="D8" t="s">
        <v>345</v>
      </c>
      <c r="E8">
        <v>25</v>
      </c>
      <c r="F8">
        <v>-28</v>
      </c>
      <c r="G8">
        <v>-2.1920000000000002</v>
      </c>
      <c r="H8">
        <v>0.17899999999999999</v>
      </c>
      <c r="I8" s="4">
        <f>AVERAGE(F6:F8)</f>
        <v>-27.666666666666668</v>
      </c>
      <c r="J8" s="4">
        <f>STDEV(F6:F8)</f>
        <v>0.94516312525052026</v>
      </c>
      <c r="M8">
        <v>5.31</v>
      </c>
      <c r="N8" s="3">
        <f>I29</f>
        <v>-19.933333333333334</v>
      </c>
      <c r="O8" s="5">
        <f>J29</f>
        <v>0.47258156262526219</v>
      </c>
    </row>
    <row r="9" spans="1:15">
      <c r="A9">
        <v>233</v>
      </c>
      <c r="B9" t="s">
        <v>23</v>
      </c>
      <c r="C9" t="s">
        <v>346</v>
      </c>
      <c r="D9" t="s">
        <v>347</v>
      </c>
      <c r="E9">
        <v>25</v>
      </c>
      <c r="F9">
        <v>-26.1</v>
      </c>
      <c r="G9">
        <v>-2.048</v>
      </c>
      <c r="H9">
        <v>0.182</v>
      </c>
      <c r="M9">
        <v>6.03</v>
      </c>
      <c r="N9" s="3">
        <f>I26</f>
        <v>-21.7</v>
      </c>
      <c r="O9" s="5">
        <f>J26</f>
        <v>1.9052558883257635</v>
      </c>
    </row>
    <row r="10" spans="1:15">
      <c r="A10">
        <v>234</v>
      </c>
      <c r="B10" t="s">
        <v>23</v>
      </c>
      <c r="C10" t="s">
        <v>348</v>
      </c>
      <c r="D10" t="s">
        <v>349</v>
      </c>
      <c r="E10">
        <v>25</v>
      </c>
      <c r="F10">
        <v>-20.9</v>
      </c>
      <c r="G10">
        <v>-1.637</v>
      </c>
      <c r="H10">
        <v>0.184</v>
      </c>
      <c r="M10">
        <v>7.12</v>
      </c>
      <c r="N10" s="3">
        <f>I5</f>
        <v>-24.766666666666669</v>
      </c>
      <c r="O10" s="5">
        <f>J5</f>
        <v>2.1501937897160173</v>
      </c>
    </row>
    <row r="11" spans="1:15">
      <c r="A11">
        <v>235</v>
      </c>
      <c r="B11" t="s">
        <v>23</v>
      </c>
      <c r="C11" t="s">
        <v>350</v>
      </c>
      <c r="D11" t="s">
        <v>351</v>
      </c>
      <c r="E11">
        <v>25</v>
      </c>
      <c r="F11">
        <v>-24.7</v>
      </c>
      <c r="G11">
        <v>-1.9330000000000001</v>
      </c>
      <c r="H11">
        <v>0.185</v>
      </c>
      <c r="I11" s="4">
        <f>AVERAGE(F9:F11)</f>
        <v>-23.900000000000002</v>
      </c>
      <c r="J11" s="4">
        <f>STDEV(F9:F11)</f>
        <v>2.6907248094147431</v>
      </c>
      <c r="M11">
        <v>7.2</v>
      </c>
      <c r="N11" s="3">
        <f>I41</f>
        <v>-27.966666666666669</v>
      </c>
      <c r="O11" s="3">
        <f>J41</f>
        <v>0.85049005481153894</v>
      </c>
    </row>
    <row r="12" spans="1:15">
      <c r="A12">
        <v>236</v>
      </c>
      <c r="B12" t="s">
        <v>23</v>
      </c>
      <c r="C12" t="s">
        <v>352</v>
      </c>
      <c r="D12" t="s">
        <v>353</v>
      </c>
      <c r="E12">
        <v>25</v>
      </c>
      <c r="F12">
        <v>-26.6</v>
      </c>
      <c r="G12">
        <v>-2.0819999999999999</v>
      </c>
      <c r="H12">
        <v>0.17799999999999999</v>
      </c>
      <c r="M12">
        <v>8</v>
      </c>
      <c r="N12" s="3">
        <f>I8</f>
        <v>-27.666666666666668</v>
      </c>
      <c r="O12" s="3">
        <f>J8</f>
        <v>0.94516312525052026</v>
      </c>
    </row>
    <row r="13" spans="1:15">
      <c r="A13">
        <v>237</v>
      </c>
      <c r="B13" t="s">
        <v>23</v>
      </c>
      <c r="C13" t="s">
        <v>354</v>
      </c>
      <c r="D13" t="s">
        <v>355</v>
      </c>
      <c r="E13">
        <v>25</v>
      </c>
      <c r="F13">
        <v>-26.2</v>
      </c>
      <c r="G13">
        <v>-2.0539999999999998</v>
      </c>
      <c r="H13">
        <v>0.18</v>
      </c>
      <c r="M13">
        <v>8.9</v>
      </c>
      <c r="N13" s="3">
        <f>I44</f>
        <v>-28.633333333333336</v>
      </c>
      <c r="O13" s="3">
        <f>J44</f>
        <v>0.97125348562223057</v>
      </c>
    </row>
    <row r="14" spans="1:15">
      <c r="A14">
        <v>238</v>
      </c>
      <c r="B14" t="s">
        <v>23</v>
      </c>
      <c r="C14" t="s">
        <v>356</v>
      </c>
      <c r="D14" t="s">
        <v>357</v>
      </c>
      <c r="E14">
        <v>25</v>
      </c>
      <c r="F14">
        <v>-28.8</v>
      </c>
      <c r="G14">
        <v>-2.254</v>
      </c>
      <c r="H14">
        <v>0.183</v>
      </c>
      <c r="I14" s="4">
        <f>AVERAGE(F12:F14)</f>
        <v>-27.2</v>
      </c>
      <c r="J14" s="4">
        <f>STDEV(F12:F14)</f>
        <v>1.4000000000000004</v>
      </c>
      <c r="M14">
        <v>9.0500000000000007</v>
      </c>
      <c r="N14" s="3">
        <f>I11</f>
        <v>-23.900000000000002</v>
      </c>
      <c r="O14" s="5">
        <f>J11</f>
        <v>2.6907248094147431</v>
      </c>
    </row>
    <row r="15" spans="1:15">
      <c r="A15">
        <v>239</v>
      </c>
      <c r="B15" t="s">
        <v>23</v>
      </c>
      <c r="C15" t="s">
        <v>358</v>
      </c>
      <c r="D15" t="s">
        <v>359</v>
      </c>
      <c r="E15">
        <v>25</v>
      </c>
      <c r="F15">
        <v>-25</v>
      </c>
      <c r="G15">
        <v>-1.964</v>
      </c>
      <c r="H15">
        <v>0.21199999999999999</v>
      </c>
      <c r="M15">
        <v>9.74</v>
      </c>
      <c r="N15" s="3">
        <f>I14</f>
        <v>-27.2</v>
      </c>
      <c r="O15" s="5">
        <f>J14</f>
        <v>1.4000000000000004</v>
      </c>
    </row>
    <row r="16" spans="1:15">
      <c r="A16">
        <v>240</v>
      </c>
      <c r="B16" t="s">
        <v>23</v>
      </c>
      <c r="C16" t="s">
        <v>360</v>
      </c>
      <c r="D16" t="s">
        <v>361</v>
      </c>
      <c r="E16">
        <v>25</v>
      </c>
      <c r="F16">
        <v>-24.7</v>
      </c>
      <c r="G16">
        <v>-1.94</v>
      </c>
      <c r="H16">
        <v>0.214</v>
      </c>
      <c r="M16">
        <v>10.31</v>
      </c>
      <c r="N16" s="3">
        <f>I17</f>
        <v>-24.933333333333337</v>
      </c>
      <c r="O16" s="5">
        <f>J17</f>
        <v>0.20816659994661424</v>
      </c>
    </row>
    <row r="17" spans="1:15">
      <c r="A17">
        <v>241</v>
      </c>
      <c r="B17" t="s">
        <v>23</v>
      </c>
      <c r="C17" t="s">
        <v>362</v>
      </c>
      <c r="D17" t="s">
        <v>363</v>
      </c>
      <c r="E17">
        <v>25</v>
      </c>
      <c r="F17">
        <v>-25.1</v>
      </c>
      <c r="G17">
        <v>-1.968</v>
      </c>
      <c r="H17">
        <v>0.216</v>
      </c>
      <c r="I17" s="4">
        <f>AVERAGE(F15:F17)</f>
        <v>-24.933333333333337</v>
      </c>
      <c r="J17" s="4">
        <f>STDEV(F15:F17)</f>
        <v>0.20816659994661424</v>
      </c>
      <c r="M17">
        <v>11.08</v>
      </c>
      <c r="N17" s="3">
        <f>I20</f>
        <v>-26.766666666666666</v>
      </c>
      <c r="O17" s="5">
        <f>J20</f>
        <v>0.68068592855540488</v>
      </c>
    </row>
    <row r="18" spans="1:15">
      <c r="A18">
        <v>242</v>
      </c>
      <c r="B18" t="s">
        <v>23</v>
      </c>
      <c r="C18" t="s">
        <v>364</v>
      </c>
      <c r="D18" t="s">
        <v>365</v>
      </c>
      <c r="E18">
        <v>25</v>
      </c>
      <c r="F18">
        <v>-26</v>
      </c>
      <c r="G18">
        <v>-2.0390000000000001</v>
      </c>
      <c r="H18">
        <v>0.40699999999999997</v>
      </c>
      <c r="M18">
        <v>12.07</v>
      </c>
      <c r="N18" s="3">
        <f>I23</f>
        <v>-28.666666666666668</v>
      </c>
      <c r="O18" s="5">
        <f>J23</f>
        <v>1.1015141094572201</v>
      </c>
    </row>
    <row r="19" spans="1:15">
      <c r="A19">
        <v>243</v>
      </c>
      <c r="B19" t="s">
        <v>23</v>
      </c>
      <c r="C19" t="s">
        <v>366</v>
      </c>
      <c r="D19" t="s">
        <v>367</v>
      </c>
      <c r="E19">
        <v>25</v>
      </c>
      <c r="F19">
        <v>-27</v>
      </c>
      <c r="G19">
        <v>-2.1139999999999999</v>
      </c>
      <c r="H19">
        <v>0.41499999999999998</v>
      </c>
    </row>
    <row r="20" spans="1:15">
      <c r="A20">
        <v>244</v>
      </c>
      <c r="B20" t="s">
        <v>23</v>
      </c>
      <c r="C20" t="s">
        <v>368</v>
      </c>
      <c r="D20" t="s">
        <v>369</v>
      </c>
      <c r="E20">
        <v>25</v>
      </c>
      <c r="F20">
        <v>-27.3</v>
      </c>
      <c r="G20">
        <v>-2.1360000000000001</v>
      </c>
      <c r="H20">
        <v>0.41899999999999998</v>
      </c>
      <c r="I20" s="4">
        <f>AVERAGE(F18:F20)</f>
        <v>-26.766666666666666</v>
      </c>
      <c r="J20" s="4">
        <f>STDEV(F18:F20)</f>
        <v>0.68068592855540488</v>
      </c>
    </row>
    <row r="21" spans="1:15">
      <c r="A21">
        <v>248</v>
      </c>
      <c r="B21" t="s">
        <v>23</v>
      </c>
      <c r="C21" t="s">
        <v>370</v>
      </c>
      <c r="D21" t="s">
        <v>371</v>
      </c>
      <c r="E21">
        <v>25</v>
      </c>
      <c r="F21">
        <v>-27.6</v>
      </c>
      <c r="G21">
        <v>-2.165</v>
      </c>
      <c r="H21">
        <v>5.48</v>
      </c>
    </row>
    <row r="22" spans="1:15">
      <c r="A22">
        <v>249</v>
      </c>
      <c r="B22" t="s">
        <v>23</v>
      </c>
      <c r="C22" t="s">
        <v>372</v>
      </c>
      <c r="D22" t="s">
        <v>373</v>
      </c>
      <c r="E22">
        <v>25</v>
      </c>
      <c r="F22">
        <v>-29.8</v>
      </c>
      <c r="G22">
        <v>-2.335</v>
      </c>
      <c r="H22">
        <v>5.58</v>
      </c>
    </row>
    <row r="23" spans="1:15">
      <c r="A23">
        <v>250</v>
      </c>
      <c r="B23" t="s">
        <v>23</v>
      </c>
      <c r="C23" t="s">
        <v>374</v>
      </c>
      <c r="D23" t="s">
        <v>375</v>
      </c>
      <c r="E23">
        <v>25</v>
      </c>
      <c r="F23">
        <v>-28.6</v>
      </c>
      <c r="G23">
        <v>-2.2400000000000002</v>
      </c>
      <c r="H23">
        <v>5.62</v>
      </c>
      <c r="I23" s="4">
        <f>AVERAGE(F21:F23)</f>
        <v>-28.666666666666668</v>
      </c>
      <c r="J23" s="4">
        <f>STDEV(F21:F23)</f>
        <v>1.1015141094572201</v>
      </c>
    </row>
    <row r="24" spans="1:15">
      <c r="A24">
        <v>254</v>
      </c>
      <c r="B24" t="s">
        <v>23</v>
      </c>
      <c r="C24" t="s">
        <v>376</v>
      </c>
      <c r="D24" t="s">
        <v>377</v>
      </c>
      <c r="E24">
        <v>25</v>
      </c>
      <c r="F24">
        <v>-20.6</v>
      </c>
      <c r="G24">
        <v>-1.611</v>
      </c>
      <c r="H24">
        <v>0.15</v>
      </c>
    </row>
    <row r="25" spans="1:15">
      <c r="A25">
        <v>255</v>
      </c>
      <c r="B25" t="s">
        <v>23</v>
      </c>
      <c r="C25" t="s">
        <v>378</v>
      </c>
      <c r="D25" t="s">
        <v>379</v>
      </c>
      <c r="E25">
        <v>25</v>
      </c>
      <c r="F25">
        <v>-23.9</v>
      </c>
      <c r="G25">
        <v>-1.871</v>
      </c>
      <c r="H25">
        <v>0.15</v>
      </c>
    </row>
    <row r="26" spans="1:15">
      <c r="A26">
        <v>256</v>
      </c>
      <c r="B26" t="s">
        <v>23</v>
      </c>
      <c r="C26" t="s">
        <v>380</v>
      </c>
      <c r="D26" t="s">
        <v>381</v>
      </c>
      <c r="E26">
        <v>25</v>
      </c>
      <c r="F26">
        <v>-20.6</v>
      </c>
      <c r="G26">
        <v>-1.617</v>
      </c>
      <c r="H26">
        <v>0.151</v>
      </c>
      <c r="I26" s="4">
        <f>AVERAGE(F24:F26)</f>
        <v>-21.7</v>
      </c>
      <c r="J26" s="4">
        <f>STDEV(F24:F26)</f>
        <v>1.9052558883257635</v>
      </c>
    </row>
    <row r="27" spans="1:15">
      <c r="A27">
        <v>260</v>
      </c>
      <c r="B27" t="s">
        <v>23</v>
      </c>
      <c r="C27" t="s">
        <v>382</v>
      </c>
      <c r="D27" t="s">
        <v>383</v>
      </c>
      <c r="E27">
        <v>25</v>
      </c>
      <c r="F27">
        <v>-20.100000000000001</v>
      </c>
      <c r="G27">
        <v>-1.5780000000000001</v>
      </c>
      <c r="H27">
        <v>0.15</v>
      </c>
    </row>
    <row r="28" spans="1:15">
      <c r="A28">
        <v>261</v>
      </c>
      <c r="B28" t="s">
        <v>23</v>
      </c>
      <c r="C28" t="s">
        <v>384</v>
      </c>
      <c r="D28" t="s">
        <v>385</v>
      </c>
      <c r="E28">
        <v>25</v>
      </c>
      <c r="F28">
        <v>-20.3</v>
      </c>
      <c r="G28">
        <v>-1.591</v>
      </c>
      <c r="H28">
        <v>0.152</v>
      </c>
    </row>
    <row r="29" spans="1:15">
      <c r="A29">
        <v>262</v>
      </c>
      <c r="B29" t="s">
        <v>23</v>
      </c>
      <c r="C29" t="s">
        <v>386</v>
      </c>
      <c r="D29" t="s">
        <v>387</v>
      </c>
      <c r="E29">
        <v>25</v>
      </c>
      <c r="F29">
        <v>-19.399999999999999</v>
      </c>
      <c r="G29">
        <v>-1.524</v>
      </c>
      <c r="H29">
        <v>0.152</v>
      </c>
      <c r="I29" s="4">
        <f>AVERAGE(F27:F29)</f>
        <v>-19.933333333333334</v>
      </c>
      <c r="J29" s="4">
        <f>STDEV(F27:F29)</f>
        <v>0.47258156262526219</v>
      </c>
    </row>
    <row r="30" spans="1:15">
      <c r="A30">
        <v>263</v>
      </c>
      <c r="B30" t="s">
        <v>23</v>
      </c>
      <c r="C30" t="s">
        <v>388</v>
      </c>
      <c r="D30" t="s">
        <v>389</v>
      </c>
      <c r="E30">
        <v>25</v>
      </c>
      <c r="F30">
        <v>-20.7</v>
      </c>
      <c r="G30">
        <v>-1.62</v>
      </c>
      <c r="H30">
        <v>0.185</v>
      </c>
    </row>
    <row r="31" spans="1:15">
      <c r="A31">
        <v>264</v>
      </c>
      <c r="B31" t="s">
        <v>23</v>
      </c>
      <c r="C31" t="s">
        <v>390</v>
      </c>
      <c r="D31" t="s">
        <v>391</v>
      </c>
      <c r="E31">
        <v>25</v>
      </c>
      <c r="F31">
        <v>-20.6</v>
      </c>
      <c r="G31">
        <v>-1.615</v>
      </c>
      <c r="H31">
        <v>0.186</v>
      </c>
    </row>
    <row r="32" spans="1:15">
      <c r="A32">
        <v>265</v>
      </c>
      <c r="B32" t="s">
        <v>23</v>
      </c>
      <c r="C32" t="s">
        <v>392</v>
      </c>
      <c r="D32" t="s">
        <v>393</v>
      </c>
      <c r="E32">
        <v>25</v>
      </c>
      <c r="F32">
        <v>-20.399999999999999</v>
      </c>
      <c r="G32">
        <v>-1.5980000000000001</v>
      </c>
      <c r="H32">
        <v>0.187</v>
      </c>
      <c r="I32" s="4">
        <f>AVERAGE(F30:F32)</f>
        <v>-20.566666666666666</v>
      </c>
      <c r="J32" s="4">
        <f>STDEV(F30:F32)</f>
        <v>0.1527525231651953</v>
      </c>
    </row>
    <row r="33" spans="1:10">
      <c r="A33">
        <v>266</v>
      </c>
      <c r="B33" t="s">
        <v>23</v>
      </c>
      <c r="C33" t="s">
        <v>394</v>
      </c>
      <c r="D33" t="s">
        <v>395</v>
      </c>
      <c r="E33">
        <v>25</v>
      </c>
      <c r="F33">
        <v>-16.7</v>
      </c>
      <c r="G33">
        <v>-1.31</v>
      </c>
      <c r="H33">
        <v>0.49299999999999999</v>
      </c>
    </row>
    <row r="34" spans="1:10">
      <c r="A34">
        <v>267</v>
      </c>
      <c r="B34" t="s">
        <v>23</v>
      </c>
      <c r="C34" t="s">
        <v>396</v>
      </c>
      <c r="D34" t="s">
        <v>397</v>
      </c>
      <c r="E34">
        <v>25</v>
      </c>
      <c r="F34">
        <v>-16.899999999999999</v>
      </c>
      <c r="G34">
        <v>-1.327</v>
      </c>
      <c r="H34">
        <v>0.501</v>
      </c>
    </row>
    <row r="35" spans="1:10">
      <c r="A35">
        <v>268</v>
      </c>
      <c r="B35" t="s">
        <v>23</v>
      </c>
      <c r="C35" t="s">
        <v>398</v>
      </c>
      <c r="D35" t="s">
        <v>399</v>
      </c>
      <c r="E35">
        <v>25</v>
      </c>
      <c r="F35">
        <v>-17.8</v>
      </c>
      <c r="G35">
        <v>-1.3979999999999999</v>
      </c>
      <c r="H35">
        <v>0.50600000000000001</v>
      </c>
      <c r="I35" s="4">
        <f>AVERAGE(F33:F35)</f>
        <v>-17.133333333333329</v>
      </c>
      <c r="J35" s="4">
        <f>STDEV(F33:F35)</f>
        <v>0.58594652770823241</v>
      </c>
    </row>
    <row r="36" spans="1:10">
      <c r="A36">
        <v>269</v>
      </c>
      <c r="B36" t="s">
        <v>23</v>
      </c>
      <c r="C36" t="s">
        <v>400</v>
      </c>
      <c r="D36" t="s">
        <v>401</v>
      </c>
      <c r="E36">
        <v>25</v>
      </c>
      <c r="F36">
        <v>-37.799999999999997</v>
      </c>
      <c r="G36">
        <v>-2.9609999999999999</v>
      </c>
      <c r="H36">
        <v>2.87</v>
      </c>
    </row>
    <row r="37" spans="1:10">
      <c r="A37">
        <v>270</v>
      </c>
      <c r="B37" t="s">
        <v>23</v>
      </c>
      <c r="C37" t="s">
        <v>402</v>
      </c>
      <c r="D37" t="s">
        <v>403</v>
      </c>
      <c r="E37">
        <v>25</v>
      </c>
      <c r="F37">
        <v>-41.1</v>
      </c>
      <c r="G37">
        <v>-3.2240000000000002</v>
      </c>
      <c r="H37">
        <v>3.3</v>
      </c>
    </row>
    <row r="38" spans="1:10">
      <c r="A38">
        <v>271</v>
      </c>
      <c r="B38" t="s">
        <v>23</v>
      </c>
      <c r="C38" t="s">
        <v>404</v>
      </c>
      <c r="D38" t="s">
        <v>405</v>
      </c>
      <c r="E38">
        <v>25</v>
      </c>
      <c r="F38">
        <v>-42.7</v>
      </c>
      <c r="G38">
        <v>-3.3490000000000002</v>
      </c>
      <c r="H38">
        <v>3.48</v>
      </c>
      <c r="I38" s="4">
        <f>AVERAGE(F36:F38)</f>
        <v>-40.533333333333339</v>
      </c>
      <c r="J38" s="4">
        <f>STDEV(F36:F38)</f>
        <v>2.498666310921358</v>
      </c>
    </row>
    <row r="39" spans="1:10">
      <c r="A39">
        <v>272</v>
      </c>
      <c r="B39" t="s">
        <v>23</v>
      </c>
      <c r="C39" t="s">
        <v>406</v>
      </c>
      <c r="D39" t="s">
        <v>407</v>
      </c>
      <c r="E39">
        <v>25</v>
      </c>
      <c r="F39">
        <v>-28.6</v>
      </c>
      <c r="G39">
        <v>-2.246</v>
      </c>
      <c r="H39">
        <v>0.157</v>
      </c>
    </row>
    <row r="40" spans="1:10">
      <c r="A40">
        <v>273</v>
      </c>
      <c r="B40" t="s">
        <v>23</v>
      </c>
      <c r="C40" t="s">
        <v>408</v>
      </c>
      <c r="D40" t="s">
        <v>409</v>
      </c>
      <c r="E40">
        <v>25</v>
      </c>
      <c r="F40">
        <v>-27</v>
      </c>
      <c r="G40">
        <v>-2.1150000000000002</v>
      </c>
      <c r="H40">
        <v>0.159</v>
      </c>
    </row>
    <row r="41" spans="1:10">
      <c r="A41">
        <v>274</v>
      </c>
      <c r="B41" t="s">
        <v>23</v>
      </c>
      <c r="C41" t="s">
        <v>410</v>
      </c>
      <c r="D41" t="s">
        <v>411</v>
      </c>
      <c r="E41">
        <v>25</v>
      </c>
      <c r="F41">
        <v>-28.3</v>
      </c>
      <c r="G41">
        <v>-2.2200000000000002</v>
      </c>
      <c r="H41">
        <v>0.161</v>
      </c>
      <c r="I41" s="4">
        <f>AVERAGE(F39:F41)</f>
        <v>-27.966666666666669</v>
      </c>
      <c r="J41" s="4">
        <f>STDEV(F39:F41)</f>
        <v>0.85049005481153894</v>
      </c>
    </row>
    <row r="42" spans="1:10">
      <c r="A42">
        <v>281</v>
      </c>
      <c r="B42" t="s">
        <v>23</v>
      </c>
      <c r="C42" t="s">
        <v>412</v>
      </c>
      <c r="D42" t="s">
        <v>413</v>
      </c>
      <c r="E42">
        <v>25</v>
      </c>
      <c r="F42">
        <v>-27.8</v>
      </c>
      <c r="G42">
        <v>-2.1800000000000002</v>
      </c>
      <c r="H42">
        <v>0.152</v>
      </c>
    </row>
    <row r="43" spans="1:10">
      <c r="A43">
        <v>282</v>
      </c>
      <c r="B43" t="s">
        <v>23</v>
      </c>
      <c r="C43" t="s">
        <v>414</v>
      </c>
      <c r="D43" t="s">
        <v>415</v>
      </c>
      <c r="E43">
        <v>25</v>
      </c>
      <c r="F43">
        <v>-28.4</v>
      </c>
      <c r="G43">
        <v>-2.2290000000000001</v>
      </c>
      <c r="H43">
        <v>0.155</v>
      </c>
    </row>
    <row r="44" spans="1:10">
      <c r="A44">
        <v>283</v>
      </c>
      <c r="B44" t="s">
        <v>23</v>
      </c>
      <c r="C44" t="s">
        <v>416</v>
      </c>
      <c r="D44" t="s">
        <v>417</v>
      </c>
      <c r="E44">
        <v>25</v>
      </c>
      <c r="F44">
        <v>-29.7</v>
      </c>
      <c r="G44">
        <v>-2.33</v>
      </c>
      <c r="H44">
        <v>0.155</v>
      </c>
      <c r="I44" s="4">
        <f>AVERAGE(F42:F44)</f>
        <v>-28.633333333333336</v>
      </c>
      <c r="J44" s="4">
        <f>STDEV(F42:F44)</f>
        <v>0.97125348562223057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size</vt:lpstr>
      <vt:lpstr>zeta Al2O3</vt:lpstr>
      <vt:lpstr>zeta CC31</vt:lpstr>
      <vt:lpstr>zeta  Al2O3+CE64</vt:lpstr>
      <vt:lpstr>Arkusz1</vt:lpstr>
      <vt:lpstr>zeta KK16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Falkowski Paweł</dc:creator>
  <cp:keywords/>
  <dc:description/>
  <cp:lastModifiedBy>teblesz</cp:lastModifiedBy>
  <cp:revision/>
  <dcterms:created xsi:type="dcterms:W3CDTF">2026-06-22T10:10:31Z</dcterms:created>
  <dcterms:modified xsi:type="dcterms:W3CDTF">2026-09-21T04:47:18Z</dcterms:modified>
  <cp:category/>
  <cp:contentStatus/>
</cp:coreProperties>
</file>